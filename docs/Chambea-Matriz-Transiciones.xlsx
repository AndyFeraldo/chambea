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Supuestos" sheetId="2" state="visible" r:id="rId4"/>
    <sheet name="Resumen" sheetId="3" state="visible" r:id="rId5"/>
    <sheet name="Matriz habilidades" sheetId="4" state="visible" r:id="rId6"/>
    <sheet name="Proximidad" sheetId="5" state="visible" r:id="rId7"/>
    <sheet name="En común" sheetId="6" state="visible" r:id="rId8"/>
    <sheet name="Rutas por oficio" sheetId="7" state="visible" r:id="rId9"/>
    <sheet name="Validación" sheetId="8" state="visible" r:id="rId10"/>
  </sheets>
  <definedNames>
    <definedName function="false" hidden="true" localSheetId="6" name="_xlnm._FilterDatabase" vbProcedure="false">'Rutas por oficio'!$A$4:$I$160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<sst xmlns="http://schemas.openxmlformats.org/spreadsheetml/2006/main" count="1459" uniqueCount="405">
  <si>
    <t xml:space="preserve">Chambea · Matriz de transiciones entre ocupaciones</t>
  </si>
  <si>
    <t xml:space="preserve">Innovathon Ulima x Tether 2026 · Reto del MTPE · Datos ilustrativos para el prototipo</t>
  </si>
  <si>
    <t xml:space="preserve">¿Para qué sirve?</t>
  </si>
  <si>
    <t xml:space="preserve">No existe una base oficial de transiciones entre ocupaciones: identificarlas es parte del reto. Esta matriz las construye a partir de las competencias que comparten las ocupaciones, con sustento técnico y mecanismos de validación.</t>
  </si>
  <si>
    <t xml:space="preserve">Idea central</t>
  </si>
  <si>
    <t xml:space="preserve">Si soy cajera, ya desarrollé habilidades como cobrar sin errores, manejar medios de pago, atender al cliente y tener paciencia. Esas mismas habilidades las pide un vendedor de tienda. Por eso «Vendedor/a de tienda» está cerca de «Cajero/a», y «Auxiliar de almacén» está lejos.</t>
  </si>
  <si>
    <t xml:space="preserve">Cómo se calcula</t>
  </si>
  <si>
    <t xml:space="preserve">Proximidad(A → B) = suma de pesos de las habilidades de B que A ya tiene ÷ suma de pesos de todas las habilidades de B. Pesos: logro 3 · habilidad 2 · conocimiento 2 · cualidad 1 (hoja «Supuestos»). Es la misma fórmula que usa la app.</t>
  </si>
  <si>
    <t xml:space="preserve">Pares más cercanos (con los pesos actuales)</t>
  </si>
  <si>
    <t xml:space="preserve">Personal de limpieza → Conserje / mantenimiento: 58% · Conserje / mantenimiento → Personal de limpieza: 58% · Vendedor/a de tienda → Cajero/a: 54% · Cajero/a → Vendedor/a de tienda: 50% · Reponedor/a y abastecedor/a → Auxiliar de almacén: 46% · Auxiliar de almacén → Reponedor/a y abastecedor/a: 46%</t>
  </si>
  <si>
    <t xml:space="preserve">Cómo leer las hojas</t>
  </si>
  <si>
    <t xml:space="preserve">«Resumen»: las 3 más cercanas y la más lejana de cada oficio. «Proximidad»: matriz 13 × 13 con colores. «Rutas por oficio»: de la más cercana a la más lejana, con lo que comparten y lo que les falta. «Matriz habilidades»: qué habilidades pide cada ocupación. «En común»: cuántas habilidades comparten. «Validación»: sustento técnico y plantilla para asesores. «Supuestos»: pesos y cortes que se pueden cambiar.</t>
  </si>
  <si>
    <t xml:space="preserve">Ojo: matriz vs. app</t>
  </si>
  <si>
    <t xml:space="preserve">La matriz compara el perfil típico de una ocupación con otra (7 habilidades cada una). En la app se compara el panal real de la persona, que suele tener más habilidades; por eso allí la cobertura suele ser mayor (ej.: Rosa tiene 6 de 7 para Vendedor/a de tienda).</t>
  </si>
  <si>
    <t xml:space="preserve">Datos</t>
  </si>
  <si>
    <t xml:space="preserve">13 ocupaciones de nivel operativo (5 priorizadas por el MTPE + 8 para ampliar rutas) y 44 habilidades usadas, de un catálogo de 48. Todos son ilustrativos: se reemplazarán por los estándares de competencia del MTPE y la EDO 2026 sin cambiar el cálculo.</t>
  </si>
  <si>
    <t xml:space="preserve">Colores</t>
  </si>
  <si>
    <t xml:space="preserve">Celdas con texto azul = datos o supuestos que se pueden cambiar. Celdas amarillas (hoja Validación) = para que las llenen los asesores. Matrices: blanco = lejanas, amarillo = medias, verde = cercanas.</t>
  </si>
  <si>
    <t xml:space="preserve">Supuestos del cálculo</t>
  </si>
  <si>
    <t xml:space="preserve">Celdas en azul: se pueden cambiar. Todo el libro se recalcula solo.</t>
  </si>
  <si>
    <t xml:space="preserve">Dimensión del perfil (MTPE)</t>
  </si>
  <si>
    <t xml:space="preserve">Peso</t>
  </si>
  <si>
    <t xml:space="preserve">Qué significa</t>
  </si>
  <si>
    <t xml:space="preserve">Logro (competencia)</t>
  </si>
  <si>
    <t xml:space="preserve">Lo que logra y cómo lo demuestra</t>
  </si>
  <si>
    <t xml:space="preserve">Habilidad</t>
  </si>
  <si>
    <t xml:space="preserve">Lo que sabe hacer</t>
  </si>
  <si>
    <t xml:space="preserve">Conocimiento</t>
  </si>
  <si>
    <t xml:space="preserve">Lo que sabe</t>
  </si>
  <si>
    <t xml:space="preserve">Cualidad</t>
  </si>
  <si>
    <t xml:space="preserve">Cómo es</t>
  </si>
  <si>
    <t xml:space="preserve">Fuente de los pesos: motor de Chambea (shared/src/motor.ts, constante PESOS). Un logro pesa más porque es la prueba más fuerte; una cualidad pesa menos porque la comparten casi todos los trabajos.</t>
  </si>
  <si>
    <t xml:space="preserve">Clasificación de la cercanía (solo para esta matriz)</t>
  </si>
  <si>
    <t xml:space="preserve">Desde</t>
  </si>
  <si>
    <t xml:space="preserve">Lectura</t>
  </si>
  <si>
    <t xml:space="preserve">Cercana</t>
  </si>
  <si>
    <t xml:space="preserve">Comparten buena parte del perfil: la transición es natural.</t>
  </si>
  <si>
    <t xml:space="preserve">Media</t>
  </si>
  <si>
    <t xml:space="preserve">Comparten algo: con un curso corto se acercan.</t>
  </si>
  <si>
    <t xml:space="preserve">Lejana</t>
  </si>
  <si>
    <t xml:space="preserve">Comparten poco o nada: haría falta empezar casi de cero.</t>
  </si>
  <si>
    <t xml:space="preserve">Supuesto del equipo: estos cortes ordenan ocupación contra ocupación usando solo las 7 habilidades típicas de cada una. En la app, la cobertura se calcula con el panal real de la persona (que suele tener más habilidades), y ahí se usan otros cortes: 85 % o más = puede postular; 50 % a 85 % = curso; menos de 50 % = asesor.</t>
  </si>
  <si>
    <t xml:space="preserve">Resumen: las ocupaciones más próximas y más lejanas de cada oficio</t>
  </si>
  <si>
    <t xml:space="preserve">Para leer de un vistazo. El detalle (qué comparten y qué les falta) está en «Rutas por oficio».</t>
  </si>
  <si>
    <t xml:space="preserve">Oficio de hoy</t>
  </si>
  <si>
    <t xml:space="preserve">Más cercana 1</t>
  </si>
  <si>
    <t xml:space="preserve">%</t>
  </si>
  <si>
    <t xml:space="preserve">Más cercana 2</t>
  </si>
  <si>
    <t xml:space="preserve">Más cercana 3</t>
  </si>
  <si>
    <t xml:space="preserve">Más lejana</t>
  </si>
  <si>
    <t xml:space="preserve">Lo que comparte con la más cercana</t>
  </si>
  <si>
    <t xml:space="preserve">Cajero/a</t>
  </si>
  <si>
    <t xml:space="preserve">Vendedor/a de tienda</t>
  </si>
  <si>
    <t xml:space="preserve">Mozo/a de restaurante</t>
  </si>
  <si>
    <t xml:space="preserve">Repartidor/a</t>
  </si>
  <si>
    <t xml:space="preserve">Reponedor/a y abastecedor/a</t>
  </si>
  <si>
    <t xml:space="preserve">Atención al cliente, Medios de pago, Cobro en caja, Paciencia</t>
  </si>
  <si>
    <t xml:space="preserve">Asesor/a de atención al cliente</t>
  </si>
  <si>
    <t xml:space="preserve">Personal de limpieza</t>
  </si>
  <si>
    <t xml:space="preserve">Cobro en caja, Medios de pago, Atención al cliente, Paciencia</t>
  </si>
  <si>
    <t xml:space="preserve">Auxiliar de almacén</t>
  </si>
  <si>
    <t xml:space="preserve">Operario/a de producción</t>
  </si>
  <si>
    <t xml:space="preserve">Recepción de mercadería, Control de inventario, Organización y orden, Resistencia física</t>
  </si>
  <si>
    <t xml:space="preserve">Auxiliar administrativo/a</t>
  </si>
  <si>
    <t xml:space="preserve">Conserje / mantenimiento</t>
  </si>
  <si>
    <t xml:space="preserve">Registro de datos, Computación básica</t>
  </si>
  <si>
    <t xml:space="preserve">Seguridad en el trabajo, Honestidad, Puntualidad, Ambientes impecables</t>
  </si>
  <si>
    <t xml:space="preserve">Ayudante de cocina</t>
  </si>
  <si>
    <t xml:space="preserve">Cuidador/a de personas</t>
  </si>
  <si>
    <t xml:space="preserve">Higiene de alimentos, Cocina</t>
  </si>
  <si>
    <t xml:space="preserve">Cobro en caja, Atención al cliente, Paciencia</t>
  </si>
  <si>
    <t xml:space="preserve">Control de inventario, Recepción de mercadería, Organización y orden, Resistencia física</t>
  </si>
  <si>
    <t xml:space="preserve">Resistencia física, Pedidos a tiempo</t>
  </si>
  <si>
    <t xml:space="preserve">Organización y orden, Resistencia física, Seguridad en el trabajo</t>
  </si>
  <si>
    <t xml:space="preserve">Cocina, Higiene de alimentos</t>
  </si>
  <si>
    <t xml:space="preserve">Cuando varias ocupaciones empatan en 0 % como «más lejana», se muestra la primera por orden alfabético: ninguna comparte habilidades típicas con el oficio de hoy.</t>
  </si>
  <si>
    <t xml:space="preserve">Matriz Ocupación × Habilidades</t>
  </si>
  <si>
    <t xml:space="preserve">1 = la ocupación pide esa habilidad (dato de data/ocupaciones.json). Cada ocupación pide 7. Datos ilustrativos, a reemplazar por los estándares de competencia del MTPE.</t>
  </si>
  <si>
    <t xml:space="preserve">Id</t>
  </si>
  <si>
    <t xml:space="preserve">Cómo lo diría la persona</t>
  </si>
  <si>
    <t xml:space="preserve">Dimensión</t>
  </si>
  <si>
    <t xml:space="preserve">N.º de ocupaciones que la piden</t>
  </si>
  <si>
    <t xml:space="preserve">con_documentos_comerciales</t>
  </si>
  <si>
    <t xml:space="preserve">Documentos comerciales</t>
  </si>
  <si>
    <t xml:space="preserve">Conozco boletas, facturas y guías</t>
  </si>
  <si>
    <t xml:space="preserve">con_higiene_alimentos</t>
  </si>
  <si>
    <t xml:space="preserve">Higiene de alimentos</t>
  </si>
  <si>
    <t xml:space="preserve">Sé manejar alimentos con higiene</t>
  </si>
  <si>
    <t xml:space="preserve">con_manejo_dinero</t>
  </si>
  <si>
    <t xml:space="preserve">Manejo de dinero</t>
  </si>
  <si>
    <t xml:space="preserve">Manejo plata sin que falte nada</t>
  </si>
  <si>
    <t xml:space="preserve">con_medios_pago</t>
  </si>
  <si>
    <t xml:space="preserve">Medios de pago</t>
  </si>
  <si>
    <t xml:space="preserve">Sé cobrar con efectivo, tarjeta, Yape o Plin</t>
  </si>
  <si>
    <t xml:space="preserve">con_productos_limpieza</t>
  </si>
  <si>
    <t xml:space="preserve">Productos de limpieza</t>
  </si>
  <si>
    <t xml:space="preserve">Sé qué productos usar y cuáles no se mezclan</t>
  </si>
  <si>
    <t xml:space="preserve">con_seguridad_trabajo</t>
  </si>
  <si>
    <t xml:space="preserve">Seguridad en el trabajo</t>
  </si>
  <si>
    <t xml:space="preserve">Sé trabajar sin ponerme en riesgo</t>
  </si>
  <si>
    <t xml:space="preserve">con_ubicacion_productos</t>
  </si>
  <si>
    <t xml:space="preserve">Ubicación de productos</t>
  </si>
  <si>
    <t xml:space="preserve">Sé dónde va cada cosa y qué vence primero</t>
  </si>
  <si>
    <t xml:space="preserve">hab_archivo</t>
  </si>
  <si>
    <t xml:space="preserve">Archivo de documentos</t>
  </si>
  <si>
    <t xml:space="preserve">Ordeno y archivo papeles</t>
  </si>
  <si>
    <t xml:space="preserve">hab_atencion_cliente</t>
  </si>
  <si>
    <t xml:space="preserve">Atención al cliente</t>
  </si>
  <si>
    <t xml:space="preserve">Atiendo bien a la gente</t>
  </si>
  <si>
    <t xml:space="preserve">hab_atencion_telefonica</t>
  </si>
  <si>
    <t xml:space="preserve">Atención telefónica</t>
  </si>
  <si>
    <t xml:space="preserve">Atiendo llamadas y mensajes</t>
  </si>
  <si>
    <t xml:space="preserve">hab_cobro_caja</t>
  </si>
  <si>
    <t xml:space="preserve">Cobro en caja</t>
  </si>
  <si>
    <t xml:space="preserve">Cobro rápido y sin equivocarme</t>
  </si>
  <si>
    <t xml:space="preserve">hab_cocina_basica</t>
  </si>
  <si>
    <t xml:space="preserve">Cocina</t>
  </si>
  <si>
    <t xml:space="preserve">Sé cocinar y preparar alimentos</t>
  </si>
  <si>
    <t xml:space="preserve">hab_ofimatica_basica</t>
  </si>
  <si>
    <t xml:space="preserve">Computación básica</t>
  </si>
  <si>
    <t xml:space="preserve">Manejo la computadora y Excel básico</t>
  </si>
  <si>
    <t xml:space="preserve">hab_comunicacion</t>
  </si>
  <si>
    <t xml:space="preserve">Comunicación</t>
  </si>
  <si>
    <t xml:space="preserve">Explico las cosas claro y converso con la gente</t>
  </si>
  <si>
    <t xml:space="preserve">hab_inventario</t>
  </si>
  <si>
    <t xml:space="preserve">Control de inventario</t>
  </si>
  <si>
    <t xml:space="preserve">Veo qué falta y llevo la cuenta</t>
  </si>
  <si>
    <t xml:space="preserve">hab_cuadre_caja</t>
  </si>
  <si>
    <t xml:space="preserve">Cuadre de caja</t>
  </si>
  <si>
    <t xml:space="preserve">Cuadro la caja al final del día</t>
  </si>
  <si>
    <t xml:space="preserve">hab_cuidado_personas</t>
  </si>
  <si>
    <t xml:space="preserve">Cuidado de personas</t>
  </si>
  <si>
    <t xml:space="preserve">Cuido a niños o adultos mayores</t>
  </si>
  <si>
    <t xml:space="preserve">hab_identifica_necesidades</t>
  </si>
  <si>
    <t xml:space="preserve">Detectar necesidades</t>
  </si>
  <si>
    <t xml:space="preserve">Me doy cuenta de lo que la gente necesita</t>
  </si>
  <si>
    <t xml:space="preserve">hab_limpieza_tecnica</t>
  </si>
  <si>
    <t xml:space="preserve">Limpieza y desinfección</t>
  </si>
  <si>
    <t xml:space="preserve">Limpio bien cada tipo de lugar</t>
  </si>
  <si>
    <t xml:space="preserve">hab_maquinas_produccion</t>
  </si>
  <si>
    <t xml:space="preserve">Manejo de máquinas</t>
  </si>
  <si>
    <t xml:space="preserve">Trabajo con máquinas o en línea de producción</t>
  </si>
  <si>
    <t xml:space="preserve">hab_mantenimiento_basico</t>
  </si>
  <si>
    <t xml:space="preserve">Mantenimiento básico</t>
  </si>
  <si>
    <t xml:space="preserve">Arreglo y pinto cosas sencillas</t>
  </si>
  <si>
    <t xml:space="preserve">hab_organizacion_tiempos</t>
  </si>
  <si>
    <t xml:space="preserve">Organización del tiempo</t>
  </si>
  <si>
    <t xml:space="preserve">Organizo mi tiempo para que todo salga a la hora</t>
  </si>
  <si>
    <t xml:space="preserve">hab_carga_descarga</t>
  </si>
  <si>
    <t xml:space="preserve">Recepción de mercadería</t>
  </si>
  <si>
    <t xml:space="preserve">Recibo y descargo mercadería</t>
  </si>
  <si>
    <t xml:space="preserve">hab_registro_datos</t>
  </si>
  <si>
    <t xml:space="preserve">Registro de datos</t>
  </si>
  <si>
    <t xml:space="preserve">Anoto todo sin equivocarme</t>
  </si>
  <si>
    <t xml:space="preserve">hab_reparto_rutas</t>
  </si>
  <si>
    <t xml:space="preserve">Reparto y rutas</t>
  </si>
  <si>
    <t xml:space="preserve">Reparto pedidos y conozco las rutas</t>
  </si>
  <si>
    <t xml:space="preserve">hab_reposicion</t>
  </si>
  <si>
    <t xml:space="preserve">Reposición</t>
  </si>
  <si>
    <t xml:space="preserve">Repongo y ordeno lo que falta</t>
  </si>
  <si>
    <t xml:space="preserve">hab_servicio_mesa</t>
  </si>
  <si>
    <t xml:space="preserve">Servicio de mesa</t>
  </si>
  <si>
    <t xml:space="preserve">Atiendo mesas y tomo pedidos</t>
  </si>
  <si>
    <t xml:space="preserve">hab_tecnicas_venta</t>
  </si>
  <si>
    <t xml:space="preserve">Técnicas de venta</t>
  </si>
  <si>
    <t xml:space="preserve">Sé ofrecer y convencer para vender</t>
  </si>
  <si>
    <t xml:space="preserve">cua_cumple_protocolos</t>
  </si>
  <si>
    <t xml:space="preserve">Cumplimiento de normas</t>
  </si>
  <si>
    <t xml:space="preserve">Sigo las normas y los pasos al pie de la letra</t>
  </si>
  <si>
    <t xml:space="preserve">cua_honestidad</t>
  </si>
  <si>
    <t xml:space="preserve">Honestidad</t>
  </si>
  <si>
    <t xml:space="preserve">Me confían cosas importantes</t>
  </si>
  <si>
    <t xml:space="preserve">cua_orden</t>
  </si>
  <si>
    <t xml:space="preserve">Organización y orden</t>
  </si>
  <si>
    <t xml:space="preserve">Soy ordenada y me fijo en los detalles</t>
  </si>
  <si>
    <t xml:space="preserve">cua_paciencia</t>
  </si>
  <si>
    <t xml:space="preserve">Paciencia</t>
  </si>
  <si>
    <t xml:space="preserve">Tengo paciencia con la gente</t>
  </si>
  <si>
    <t xml:space="preserve">cua_puntualidad</t>
  </si>
  <si>
    <t xml:space="preserve">Puntualidad</t>
  </si>
  <si>
    <t xml:space="preserve">Soy puntual y cumplo</t>
  </si>
  <si>
    <t xml:space="preserve">cua_resistencia</t>
  </si>
  <si>
    <t xml:space="preserve">Resistencia física</t>
  </si>
  <si>
    <t xml:space="preserve">Aguanto el ritmo todo el día</t>
  </si>
  <si>
    <t xml:space="preserve">cua_trabajo_presion</t>
  </si>
  <si>
    <t xml:space="preserve">Trabajo bajo presión</t>
  </si>
  <si>
    <t xml:space="preserve">Trabajo tranquila aunque haya mucha gente o apuro</t>
  </si>
  <si>
    <t xml:space="preserve">cua_trabajo_equipo</t>
  </si>
  <si>
    <t xml:space="preserve">Trabajo en equipo</t>
  </si>
  <si>
    <t xml:space="preserve">Ayudo a mis compañeros</t>
  </si>
  <si>
    <t xml:space="preserve">comp_ambientes_impecables</t>
  </si>
  <si>
    <t xml:space="preserve">Ambientes impecables</t>
  </si>
  <si>
    <t xml:space="preserve">Dejo todo limpio a tiempo</t>
  </si>
  <si>
    <t xml:space="preserve">comp_caja_sin_faltantes</t>
  </si>
  <si>
    <t xml:space="preserve">Caja sin faltantes</t>
  </si>
  <si>
    <t xml:space="preserve">Mi caja siempre cuadra</t>
  </si>
  <si>
    <t xml:space="preserve">comp_clientes_vuelven</t>
  </si>
  <si>
    <t xml:space="preserve">Clientes que vuelven</t>
  </si>
  <si>
    <t xml:space="preserve">Mis clientes vuelven y me recomiendan</t>
  </si>
  <si>
    <t xml:space="preserve">comp_gestiona_documentos</t>
  </si>
  <si>
    <t xml:space="preserve">Documentos al día</t>
  </si>
  <si>
    <t xml:space="preserve">Tengo todo al día</t>
  </si>
  <si>
    <t xml:space="preserve">comp_meta_turno</t>
  </si>
  <si>
    <t xml:space="preserve">Meta del turno</t>
  </si>
  <si>
    <t xml:space="preserve">Cumplo la meta de mi turno</t>
  </si>
  <si>
    <t xml:space="preserve">comp_pedidos_a_tiempo</t>
  </si>
  <si>
    <t xml:space="preserve">Pedidos a tiempo</t>
  </si>
  <si>
    <t xml:space="preserve">Mis pedidos salen completos y a tiempo</t>
  </si>
  <si>
    <t xml:space="preserve">comp_resuelve_reclamos</t>
  </si>
  <si>
    <t xml:space="preserve">Resolver reclamos</t>
  </si>
  <si>
    <t xml:space="preserve">Calmo al cliente molesto y lo resuelvo</t>
  </si>
  <si>
    <t xml:space="preserve">comp_gondola_abastecida</t>
  </si>
  <si>
    <t xml:space="preserve">Zona siempre abastecida</t>
  </si>
  <si>
    <t xml:space="preserve">Nunca falta producto en mi zona</t>
  </si>
  <si>
    <t xml:space="preserve">Habilidades que pide</t>
  </si>
  <si>
    <t xml:space="preserve">Suma de pesos que pide (denominador)</t>
  </si>
  <si>
    <t xml:space="preserve">Se muestran las 44 habilidades del catálogo que pide al menos una ocupación (el catálogo tiene 48).</t>
  </si>
  <si>
    <t xml:space="preserve">Matriz de proximidad entre ocupaciones</t>
  </si>
  <si>
    <t xml:space="preserve">Fila = oficio de hoy (lo que la persona ya sabe). Columna = ocupación a la que podría pasar. Valor = % ponderado de lo que pide la columna que ya tiene la fila.</t>
  </si>
  <si>
    <t xml:space="preserve">Oficio de hoy ↓  /  Podría pasar a →</t>
  </si>
  <si>
    <t xml:space="preserve">—</t>
  </si>
  <si>
    <t xml:space="preserve">Cómo se calcula (igual que el motor de Chambea):</t>
  </si>
  <si>
    <t xml:space="preserve">Proximidad(A → B) = suma de pesos de las habilidades de B que A también tiene ÷ suma de pesos de todas las habilidades de B.</t>
  </si>
  <si>
    <t xml:space="preserve">No es simétrica: A → B puede ser distinto de B → A, porque cada ocupación pide habilidades con pesos distintos. La diagonal (—) es la misma ocupación.</t>
  </si>
  <si>
    <t xml:space="preserve">Colores: blanco = no comparten nada · amarillo = comparten algo · verde = muy cercanas.</t>
  </si>
  <si>
    <t xml:space="preserve">Habilidades en común entre ocupaciones</t>
  </si>
  <si>
    <t xml:space="preserve">Cuántas de sus 7 habilidades típicas comparten dos ocupaciones (sin pesos). Esta matriz sí es simétrica.</t>
  </si>
  <si>
    <t xml:space="preserve">Ocupación</t>
  </si>
  <si>
    <t xml:space="preserve">De cada oficio a las demás ocupaciones: de la más cercana a la más lejana</t>
  </si>
  <si>
    <t xml:space="preserve">El orden se calculó con los pesos actuales; el % y el nivel se recalculan si cambian los Supuestos. «Comparten» y «Le falta» salen de la Matriz de habilidades.</t>
  </si>
  <si>
    <t xml:space="preserve">Puesto</t>
  </si>
  <si>
    <t xml:space="preserve">Podría pasar a</t>
  </si>
  <si>
    <t xml:space="preserve">Proximidad</t>
  </si>
  <si>
    <t xml:space="preserve">Nivel</t>
  </si>
  <si>
    <t xml:space="preserve">Habilidades en común</t>
  </si>
  <si>
    <t xml:space="preserve">Lo que comparten (similitudes)</t>
  </si>
  <si>
    <t xml:space="preserve">Lo que le falta</t>
  </si>
  <si>
    <t xml:space="preserve">Demanda del destino en Lima</t>
  </si>
  <si>
    <t xml:space="preserve">1 Más cercana</t>
  </si>
  <si>
    <t xml:space="preserve">Resolver reclamos (logro), Reposición (habilidad), Técnicas de venta (habilidad)</t>
  </si>
  <si>
    <t xml:space="preserve">alta</t>
  </si>
  <si>
    <t xml:space="preserve">2 Más cercana</t>
  </si>
  <si>
    <t xml:space="preserve">Atención al cliente, Paciencia, Cobro en caja</t>
  </si>
  <si>
    <t xml:space="preserve">Servicio de mesa (habilidad), Comunicación (habilidad), Trabajo bajo presión (cualidad), Clientes que vuelven (logro)</t>
  </si>
  <si>
    <t xml:space="preserve">3 Más cercana</t>
  </si>
  <si>
    <t xml:space="preserve">Honestidad, Atención al cliente</t>
  </si>
  <si>
    <t xml:space="preserve">Reparto y rutas (habilidad), Puntualidad (cualidad), Manejo de dinero (conocimiento), Resistencia física (cualidad), Pedidos a tiempo (logro)</t>
  </si>
  <si>
    <t xml:space="preserve">4</t>
  </si>
  <si>
    <t xml:space="preserve">Paciencia, Honestidad</t>
  </si>
  <si>
    <t xml:space="preserve">Cuidado de personas (habilidad), Higiene de alimentos (conocimiento), Puntualidad (cualidad), Cocina (habilidad), Clientes que vuelven (logro)</t>
  </si>
  <si>
    <t xml:space="preserve">media</t>
  </si>
  <si>
    <t xml:space="preserve">5</t>
  </si>
  <si>
    <t xml:space="preserve">Mantenimiento básico (habilidad), Seguridad en el trabajo (conocimiento), Cumplimiento de normas (cualidad), Puntualidad (cualidad), Registro de datos (habilidad), Ambientes impecables (logro)</t>
  </si>
  <si>
    <t xml:space="preserve">6</t>
  </si>
  <si>
    <t xml:space="preserve">Limpieza y desinfección (habilidad), Productos de limpieza (conocimiento), Seguridad en el trabajo (conocimiento), Puntualidad (cualidad), Resistencia física (cualidad), Ambientes impecables (logro)</t>
  </si>
  <si>
    <t xml:space="preserve">7</t>
  </si>
  <si>
    <t xml:space="preserve">Atención telefónica (habilidad), Comunicación (habilidad), Resolver reclamos (logro), Registro de datos (habilidad), Computación básica (habilidad), Detectar necesidades (habilidad)</t>
  </si>
  <si>
    <t xml:space="preserve">8</t>
  </si>
  <si>
    <t xml:space="preserve">Archivo de documentos (habilidad), Registro de datos (habilidad), Computación básica (habilidad), Documentos comerciales (conocimiento), Organización y orden (cualidad), Puntualidad (cualidad), Documentos al día (logro)</t>
  </si>
  <si>
    <t xml:space="preserve">9</t>
  </si>
  <si>
    <t xml:space="preserve">Recepción de mercadería (habilidad), Control de inventario (habilidad), Registro de datos (habilidad), Organización y orden (cualidad), Resistencia física (cualidad), Seguridad en el trabajo (conocimiento), Pedidos a tiempo (logro)</t>
  </si>
  <si>
    <t xml:space="preserve">10 Más lejana</t>
  </si>
  <si>
    <t xml:space="preserve">Cocina (habilidad), Higiene de alimentos (conocimiento), Organización del tiempo (habilidad), Trabajo bajo presión (cualidad), Limpieza y desinfección (habilidad), Trabajo en equipo (cualidad), Pedidos a tiempo (logro)</t>
  </si>
  <si>
    <t xml:space="preserve">11 Más lejana</t>
  </si>
  <si>
    <t xml:space="preserve">Manejo de máquinas (habilidad), Cumplimiento de normas (cualidad), Seguridad en el trabajo (conocimiento), Resistencia física (cualidad), Trabajo en equipo (cualidad), Organización y orden (cualidad), Meta del turno (logro)</t>
  </si>
  <si>
    <t xml:space="preserve">12 Más lejana</t>
  </si>
  <si>
    <t xml:space="preserve">Reposición (habilidad), Control de inventario (habilidad), Ubicación de productos (conocimiento), Recepción de mercadería (habilidad), Organización y orden (cualidad), Resistencia física (cualidad), Zona siempre abastecida (logro)</t>
  </si>
  <si>
    <t xml:space="preserve">Cuadre de caja (habilidad), Honestidad (cualidad), Caja sin faltantes (logro)</t>
  </si>
  <si>
    <t xml:space="preserve">baja</t>
  </si>
  <si>
    <t xml:space="preserve">Resolver reclamos, Paciencia</t>
  </si>
  <si>
    <t xml:space="preserve">Atención telefónica (habilidad), Comunicación (habilidad), Registro de datos (habilidad), Computación básica (habilidad), Detectar necesidades (habilidad)</t>
  </si>
  <si>
    <t xml:space="preserve">Reparto y rutas (habilidad), Puntualidad (cualidad), Honestidad (cualidad), Manejo de dinero (conocimiento), Resistencia física (cualidad), Pedidos a tiempo (logro)</t>
  </si>
  <si>
    <t xml:space="preserve">Control de inventario (habilidad), Ubicación de productos (conocimiento), Recepción de mercadería (habilidad), Organización y orden (cualidad), Resistencia física (cualidad), Zona siempre abastecida (logro)</t>
  </si>
  <si>
    <t xml:space="preserve">Cuidado de personas (habilidad), Honestidad (cualidad), Higiene de alimentos (conocimiento), Puntualidad (cualidad), Cocina (habilidad), Clientes que vuelven (logro)</t>
  </si>
  <si>
    <t xml:space="preserve">Mantenimiento básico (habilidad), Seguridad en el trabajo (conocimiento), Cumplimiento de normas (cualidad), Honestidad (cualidad), Puntualidad (cualidad), Registro de datos (habilidad), Ambientes impecables (logro)</t>
  </si>
  <si>
    <t xml:space="preserve">Limpieza y desinfección (habilidad), Productos de limpieza (conocimiento), Seguridad en el trabajo (conocimiento), Honestidad (cualidad), Puntualidad (cualidad), Resistencia física (cualidad), Ambientes impecables (logro)</t>
  </si>
  <si>
    <t xml:space="preserve">Registro de datos (habilidad), Seguridad en el trabajo (conocimiento), Pedidos a tiempo (logro)</t>
  </si>
  <si>
    <t xml:space="preserve">Resistencia física, Organización y orden</t>
  </si>
  <si>
    <t xml:space="preserve">Manejo de máquinas (habilidad), Cumplimiento de normas (cualidad), Seguridad en el trabajo (conocimiento), Trabajo en equipo (cualidad), Meta del turno (logro)</t>
  </si>
  <si>
    <t xml:space="preserve">Atención al cliente (habilidad), Medios de pago (conocimiento), Cobro en caja (habilidad), Paciencia (cualidad), Resolver reclamos (logro), Técnicas de venta (habilidad)</t>
  </si>
  <si>
    <t xml:space="preserve">Limpieza y desinfección (habilidad), Productos de limpieza (conocimiento), Seguridad en el trabajo (conocimiento), Honestidad (cualidad), Puntualidad (cualidad), Ambientes impecables (logro)</t>
  </si>
  <si>
    <t xml:space="preserve">Reparto y rutas (habilidad), Puntualidad (cualidad), Honestidad (cualidad), Manejo de dinero (conocimiento), Atención al cliente (habilidad), Pedidos a tiempo (logro)</t>
  </si>
  <si>
    <t xml:space="preserve">Archivo de documentos (habilidad), Registro de datos (habilidad), Computación básica (habilidad), Documentos comerciales (conocimiento), Puntualidad (cualidad), Documentos al día (logro)</t>
  </si>
  <si>
    <t xml:space="preserve">Atención telefónica (habilidad), Comunicación (habilidad), Resolver reclamos (logro), Paciencia (cualidad), Registro de datos (habilidad), Computación básica (habilidad), Detectar necesidades (habilidad)</t>
  </si>
  <si>
    <t xml:space="preserve">Cobro en caja (habilidad), Cuadre de caja (habilidad), Medios de pago (conocimiento), Atención al cliente (habilidad), Honestidad (cualidad), Paciencia (cualidad), Caja sin faltantes (logro)</t>
  </si>
  <si>
    <t xml:space="preserve">Cuidado de personas (habilidad), Paciencia (cualidad), Honestidad (cualidad), Higiene de alimentos (conocimiento), Puntualidad (cualidad), Cocina (habilidad), Clientes que vuelven (logro)</t>
  </si>
  <si>
    <t xml:space="preserve">Servicio de mesa (habilidad), Atención al cliente (habilidad), Comunicación (habilidad), Paciencia (cualidad), Trabajo bajo presión (cualidad), Cobro en caja (habilidad), Clientes que vuelven (logro)</t>
  </si>
  <si>
    <t xml:space="preserve">Atención telefónica (habilidad), Comunicación (habilidad), Resolver reclamos (logro), Paciencia (cualidad), Detectar necesidades (habilidad)</t>
  </si>
  <si>
    <t xml:space="preserve">Puntualidad, Registro de datos</t>
  </si>
  <si>
    <t xml:space="preserve">Mantenimiento básico (habilidad), Seguridad en el trabajo (conocimiento), Cumplimiento de normas (cualidad), Honestidad (cualidad), Ambientes impecables (logro)</t>
  </si>
  <si>
    <t xml:space="preserve">Registro de datos, Organización y orden</t>
  </si>
  <si>
    <t xml:space="preserve">Recepción de mercadería (habilidad), Control de inventario (habilidad), Resistencia física (cualidad), Seguridad en el trabajo (conocimiento), Pedidos a tiempo (logro)</t>
  </si>
  <si>
    <t xml:space="preserve">Manejo de máquinas (habilidad), Cumplimiento de normas (cualidad), Seguridad en el trabajo (conocimiento), Resistencia física (cualidad), Trabajo en equipo (cualidad), Meta del turno (logro)</t>
  </si>
  <si>
    <t xml:space="preserve">Cuidado de personas (habilidad), Paciencia (cualidad), Honestidad (cualidad), Higiene de alimentos (conocimiento), Cocina (habilidad), Clientes que vuelven (logro)</t>
  </si>
  <si>
    <t xml:space="preserve">Limpieza y desinfección (habilidad), Productos de limpieza (conocimiento), Seguridad en el trabajo (conocimiento), Honestidad (cualidad), Resistencia física (cualidad), Ambientes impecables (logro)</t>
  </si>
  <si>
    <t xml:space="preserve">Reparto y rutas (habilidad), Honestidad (cualidad), Manejo de dinero (conocimiento), Atención al cliente (habilidad), Resistencia física (cualidad), Pedidos a tiempo (logro)</t>
  </si>
  <si>
    <t xml:space="preserve">Reposición (habilidad), Control de inventario (habilidad), Ubicación de productos (conocimiento), Recepción de mercadería (habilidad), Resistencia física (cualidad), Zona siempre abastecida (logro)</t>
  </si>
  <si>
    <t xml:space="preserve">Atención al cliente (habilidad), Medios de pago (conocimiento), Cobro en caja (habilidad), Paciencia (cualidad), Resolver reclamos (logro), Reposición (habilidad), Técnicas de venta (habilidad)</t>
  </si>
  <si>
    <t xml:space="preserve">Mantenimiento básico (habilidad), Cumplimiento de normas (cualidad), Registro de datos (habilidad)</t>
  </si>
  <si>
    <t xml:space="preserve">Seguridad en el trabajo, Resistencia física</t>
  </si>
  <si>
    <t xml:space="preserve">Manejo de máquinas (habilidad), Cumplimiento de normas (cualidad), Trabajo en equipo (cualidad), Organización y orden (cualidad), Meta del turno (logro)</t>
  </si>
  <si>
    <t xml:space="preserve">Puntualidad, Honestidad, Resistencia física</t>
  </si>
  <si>
    <t xml:space="preserve">Reparto y rutas (habilidad), Manejo de dinero (conocimiento), Atención al cliente (habilidad), Pedidos a tiempo (logro)</t>
  </si>
  <si>
    <t xml:space="preserve">Resistencia física, Seguridad en el trabajo</t>
  </si>
  <si>
    <t xml:space="preserve">Recepción de mercadería (habilidad), Control de inventario (habilidad), Registro de datos (habilidad), Organización y orden (cualidad), Pedidos a tiempo (logro)</t>
  </si>
  <si>
    <t xml:space="preserve">Honestidad, Puntualidad</t>
  </si>
  <si>
    <t xml:space="preserve">Cuidado de personas (habilidad), Paciencia (cualidad), Higiene de alimentos (conocimiento), Cocina (habilidad), Clientes que vuelven (logro)</t>
  </si>
  <si>
    <t xml:space="preserve">Cocina (habilidad), Higiene de alimentos (conocimiento), Organización del tiempo (habilidad), Trabajo bajo presión (cualidad), Trabajo en equipo (cualidad), Pedidos a tiempo (logro)</t>
  </si>
  <si>
    <t xml:space="preserve">Archivo de documentos (habilidad), Registro de datos (habilidad), Computación básica (habilidad), Documentos comerciales (conocimiento), Organización y orden (cualidad), Documentos al día (logro)</t>
  </si>
  <si>
    <t xml:space="preserve">Cobro en caja (habilidad), Cuadre de caja (habilidad), Medios de pago (conocimiento), Atención al cliente (habilidad), Paciencia (cualidad), Caja sin faltantes (logro)</t>
  </si>
  <si>
    <t xml:space="preserve">Reposición (habilidad), Control de inventario (habilidad), Ubicación de productos (conocimiento), Recepción de mercadería (habilidad), Organización y orden (cualidad), Zona siempre abastecida (logro)</t>
  </si>
  <si>
    <t xml:space="preserve">Cuidado de personas (habilidad), Paciencia (cualidad), Honestidad (cualidad), Puntualidad (cualidad), Clientes que vuelven (logro)</t>
  </si>
  <si>
    <t xml:space="preserve">Reparto y rutas (habilidad), Puntualidad (cualidad), Honestidad (cualidad), Manejo de dinero (conocimiento), Atención al cliente (habilidad), Resistencia física (cualidad)</t>
  </si>
  <si>
    <t xml:space="preserve">Recepción de mercadería (habilidad), Control de inventario (habilidad), Registro de datos (habilidad), Organización y orden (cualidad), Resistencia física (cualidad), Seguridad en el trabajo (conocimiento)</t>
  </si>
  <si>
    <t xml:space="preserve">Productos de limpieza (conocimiento), Seguridad en el trabajo (conocimiento), Honestidad (cualidad), Puntualidad (cualidad), Resistencia física (cualidad), Ambientes impecables (logro)</t>
  </si>
  <si>
    <t xml:space="preserve">Manejo de máquinas (habilidad), Cumplimiento de normas (cualidad), Seguridad en el trabajo (conocimiento), Resistencia física (cualidad), Organización y orden (cualidad), Meta del turno (logro)</t>
  </si>
  <si>
    <t xml:space="preserve">Servicio de mesa (habilidad), Atención al cliente (habilidad), Comunicación (habilidad), Paciencia (cualidad), Cobro en caja (habilidad), Clientes que vuelven (logro)</t>
  </si>
  <si>
    <t xml:space="preserve">Cuadre de caja (habilidad), Medios de pago (conocimiento), Honestidad (cualidad), Caja sin faltantes (logro)</t>
  </si>
  <si>
    <t xml:space="preserve">Atención al cliente, Cobro en caja, Paciencia</t>
  </si>
  <si>
    <t xml:space="preserve">Medios de pago (conocimiento), Resolver reclamos (logro), Reposición (habilidad), Técnicas de venta (habilidad)</t>
  </si>
  <si>
    <t xml:space="preserve">Paciencia, Clientes que vuelven</t>
  </si>
  <si>
    <t xml:space="preserve">Cuidado de personas (habilidad), Honestidad (cualidad), Higiene de alimentos (conocimiento), Puntualidad (cualidad), Cocina (habilidad)</t>
  </si>
  <si>
    <t xml:space="preserve">Comunicación, Paciencia</t>
  </si>
  <si>
    <t xml:space="preserve">Atención telefónica (habilidad), Resolver reclamos (logro), Registro de datos (habilidad), Computación básica (habilidad), Detectar necesidades (habilidad)</t>
  </si>
  <si>
    <t xml:space="preserve">Cocina (habilidad), Higiene de alimentos (conocimiento), Organización del tiempo (habilidad), Limpieza y desinfección (habilidad), Trabajo en equipo (cualidad), Pedidos a tiempo (logro)</t>
  </si>
  <si>
    <t xml:space="preserve">Reposición (habilidad), Ubicación de productos (conocimiento), Zona siempre abastecida (logro)</t>
  </si>
  <si>
    <t xml:space="preserve">Seguridad en el trabajo, Resistencia física, Organización y orden</t>
  </si>
  <si>
    <t xml:space="preserve">Manejo de máquinas (habilidad), Cumplimiento de normas (cualidad), Trabajo en equipo (cualidad), Meta del turno (logro)</t>
  </si>
  <si>
    <t xml:space="preserve">Seguridad en el trabajo, Registro de datos</t>
  </si>
  <si>
    <t xml:space="preserve">Mantenimiento básico (habilidad), Cumplimiento de normas (cualidad), Honestidad (cualidad), Puntualidad (cualidad), Ambientes impecables (logro)</t>
  </si>
  <si>
    <t xml:space="preserve">Reparto y rutas (habilidad), Puntualidad (cualidad), Honestidad (cualidad), Manejo de dinero (conocimiento), Atención al cliente (habilidad)</t>
  </si>
  <si>
    <t xml:space="preserve">Limpieza y desinfección (habilidad), Productos de limpieza (conocimiento), Honestidad (cualidad), Puntualidad (cualidad), Ambientes impecables (logro)</t>
  </si>
  <si>
    <t xml:space="preserve">Archivo de documentos (habilidad), Computación básica (habilidad), Documentos comerciales (conocimiento), Puntualidad (cualidad), Documentos al día (logro)</t>
  </si>
  <si>
    <t xml:space="preserve">Cocina (habilidad), Higiene de alimentos (conocimiento), Organización del tiempo (habilidad), Trabajo bajo presión (cualidad), Limpieza y desinfección (habilidad), Trabajo en equipo (cualidad)</t>
  </si>
  <si>
    <t xml:space="preserve">Atención telefónica (habilidad), Comunicación (habilidad), Resolver reclamos (logro), Paciencia (cualidad), Computación básica (habilidad), Detectar necesidades (habilidad)</t>
  </si>
  <si>
    <t xml:space="preserve">Recepción de mercadería (habilidad), Control de inventario (habilidad), Registro de datos (habilidad), Organización y orden (cualidad), Seguridad en el trabajo (conocimiento)</t>
  </si>
  <si>
    <t xml:space="preserve">Honestidad, Puntualidad, Resistencia física</t>
  </si>
  <si>
    <t xml:space="preserve">Limpieza y desinfección (habilidad), Productos de limpieza (conocimiento), Seguridad en el trabajo (conocimiento), Ambientes impecables (logro)</t>
  </si>
  <si>
    <t xml:space="preserve">Atención al cliente, Honestidad</t>
  </si>
  <si>
    <t xml:space="preserve">Cobro en caja (habilidad), Cuadre de caja (habilidad), Medios de pago (conocimiento), Paciencia (cualidad), Caja sin faltantes (logro)</t>
  </si>
  <si>
    <t xml:space="preserve">Mantenimiento básico (habilidad), Seguridad en el trabajo (conocimiento), Cumplimiento de normas (cualidad), Registro de datos (habilidad), Ambientes impecables (logro)</t>
  </si>
  <si>
    <t xml:space="preserve">Servicio de mesa (habilidad), Comunicación (habilidad), Paciencia (cualidad), Trabajo bajo presión (cualidad), Cobro en caja (habilidad), Clientes que vuelven (logro)</t>
  </si>
  <si>
    <t xml:space="preserve">Medios de pago (conocimiento), Cobro en caja (habilidad), Paciencia (cualidad), Resolver reclamos (logro), Reposición (habilidad), Técnicas de venta (habilidad)</t>
  </si>
  <si>
    <t xml:space="preserve">Manejo de máquinas (habilidad), Cumplimiento de normas (cualidad), Seguridad en el trabajo (conocimiento), Trabajo en equipo (cualidad), Organización y orden (cualidad), Meta del turno (logro)</t>
  </si>
  <si>
    <t xml:space="preserve">Recepción de mercadería (habilidad), Control de inventario (habilidad), Registro de datos (habilidad), Pedidos a tiempo (logro)</t>
  </si>
  <si>
    <t xml:space="preserve">Seguridad en el trabajo, Cumplimiento de normas</t>
  </si>
  <si>
    <t xml:space="preserve">Mantenimiento básico (habilidad), Honestidad (cualidad), Puntualidad (cualidad), Registro de datos (habilidad), Ambientes impecables (logro)</t>
  </si>
  <si>
    <t xml:space="preserve">Organización y orden, Resistencia física</t>
  </si>
  <si>
    <t xml:space="preserve">Reposición (habilidad), Control de inventario (habilidad), Ubicación de productos (conocimiento), Recepción de mercadería (habilidad), Zona siempre abastecida (logro)</t>
  </si>
  <si>
    <t xml:space="preserve">Cocina (habilidad), Higiene de alimentos (conocimiento), Organización del tiempo (habilidad), Trabajo bajo presión (cualidad), Limpieza y desinfección (habilidad), Pedidos a tiempo (logro)</t>
  </si>
  <si>
    <t xml:space="preserve">Archivo de documentos (habilidad), Documentos comerciales (conocimiento), Organización y orden (cualidad), Puntualidad (cualidad), Documentos al día (logro)</t>
  </si>
  <si>
    <t xml:space="preserve">Paciencia, Resolver reclamos</t>
  </si>
  <si>
    <t xml:space="preserve">Atención al cliente (habilidad), Medios de pago (conocimiento), Cobro en caja (habilidad), Reposición (habilidad), Técnicas de venta (habilidad)</t>
  </si>
  <si>
    <t xml:space="preserve">Servicio de mesa (habilidad), Atención al cliente (habilidad), Trabajo bajo presión (cualidad), Cobro en caja (habilidad), Clientes que vuelven (logro)</t>
  </si>
  <si>
    <t xml:space="preserve">Mantenimiento básico (habilidad), Seguridad en el trabajo (conocimiento), Cumplimiento de normas (cualidad), Honestidad (cualidad), Puntualidad (cualidad), Ambientes impecables (logro)</t>
  </si>
  <si>
    <t xml:space="preserve">Recepción de mercadería (habilidad), Control de inventario (habilidad), Organización y orden (cualidad), Resistencia física (cualidad), Seguridad en el trabajo (conocimiento), Pedidos a tiempo (logro)</t>
  </si>
  <si>
    <t xml:space="preserve">Cobro en caja (habilidad), Cuadre de caja (habilidad), Medios de pago (conocimiento), Atención al cliente (habilidad), Honestidad (cualidad), Caja sin faltantes (logro)</t>
  </si>
  <si>
    <t xml:space="preserve">Reparto y rutas (habilidad), Puntualidad (cualidad), Honestidad (cualidad), Manejo de dinero (conocimiento), Atención al cliente (habilidad), Resistencia física (cualidad), Pedidos a tiempo (logro)</t>
  </si>
  <si>
    <t xml:space="preserve">Organización del tiempo (habilidad), Trabajo bajo presión (cualidad), Limpieza y desinfección (habilidad), Trabajo en equipo (cualidad), Pedidos a tiempo (logro)</t>
  </si>
  <si>
    <t xml:space="preserve">Servicio de mesa (habilidad), Atención al cliente (habilidad), Comunicación (habilidad), Trabajo bajo presión (cualidad), Cobro en caja (habilidad)</t>
  </si>
  <si>
    <t xml:space="preserve">Limpieza y desinfección (habilidad), Productos de limpieza (conocimiento), Seguridad en el trabajo (conocimiento), Resistencia física (cualidad), Ambientes impecables (logro)</t>
  </si>
  <si>
    <t xml:space="preserve">Puntualidad, Honestidad</t>
  </si>
  <si>
    <t xml:space="preserve">Reparto y rutas (habilidad), Manejo de dinero (conocimiento), Atención al cliente (habilidad), Resistencia física (cualidad), Pedidos a tiempo (logro)</t>
  </si>
  <si>
    <t xml:space="preserve">Honestidad, Paciencia</t>
  </si>
  <si>
    <t xml:space="preserve">Cobro en caja (habilidad), Cuadre de caja (habilidad), Medios de pago (conocimiento), Atención al cliente (habilidad), Caja sin faltantes (logro)</t>
  </si>
  <si>
    <t xml:space="preserve">Atención al cliente (habilidad), Medios de pago (conocimiento), Cobro en caja (habilidad), Resolver reclamos (logro), Reposición (habilidad), Técnicas de venta (habilidad)</t>
  </si>
  <si>
    <t xml:space="preserve">Limpieza y desinfección (habilidad), Productos de limpieza (conocimiento), Resistencia física (cualidad)</t>
  </si>
  <si>
    <t xml:space="preserve">Registro de datos, Seguridad en el trabajo</t>
  </si>
  <si>
    <t xml:space="preserve">Recepción de mercadería (habilidad), Control de inventario (habilidad), Organización y orden (cualidad), Resistencia física (cualidad), Pedidos a tiempo (logro)</t>
  </si>
  <si>
    <t xml:space="preserve">Cumplimiento de normas, Seguridad en el trabajo</t>
  </si>
  <si>
    <t xml:space="preserve">Manejo de máquinas (habilidad), Resistencia física (cualidad), Trabajo en equipo (cualidad), Organización y orden (cualidad), Meta del turno (logro)</t>
  </si>
  <si>
    <t xml:space="preserve">Registro de datos, Puntualidad</t>
  </si>
  <si>
    <t xml:space="preserve">Archivo de documentos (habilidad), Computación básica (habilidad), Documentos comerciales (conocimiento), Organización y orden (cualidad), Documentos al día (logro)</t>
  </si>
  <si>
    <t xml:space="preserve">Sustento técnico y mecanismos de validación</t>
  </si>
  <si>
    <t xml:space="preserve">Cómo sabemos que dos ocupaciones se relacionan, y cómo lo vamos a comprobar.</t>
  </si>
  <si>
    <t xml:space="preserve">#</t>
  </si>
  <si>
    <t xml:space="preserve">Mecanismo</t>
  </si>
  <si>
    <t xml:space="preserve">Qué comprueba</t>
  </si>
  <si>
    <t xml:space="preserve">Estado</t>
  </si>
  <si>
    <t xml:space="preserve">Competencias compartidas (esta matriz)</t>
  </si>
  <si>
    <t xml:space="preserve">Dos ocupaciones se relacionan por las habilidades que piden en común, con el perfil de 4 dimensiones del MTPE (conocimiento, habilidad, cualidad, logro).</t>
  </si>
  <si>
    <t xml:space="preserve">Hecho</t>
  </si>
  <si>
    <t xml:space="preserve">Pesos por dimensión</t>
  </si>
  <si>
    <t xml:space="preserve">Un logro pesa 3, una habilidad o un conocimiento 2 y una cualidad 1: lo más específico y demostrable pesa más que lo genérico. Se pueden cambiar en «Supuestos» para ver si el orden se mantiene (análisis de sensibilidad).</t>
  </si>
  <si>
    <t xml:space="preserve">Mismo cálculo que la app</t>
  </si>
  <si>
    <t xml:space="preserve">La proximidad de esta hoja usa la misma fórmula del motor de Chambea (calcularCobertura). Hay 15 pruebas automáticas que verifican el motor (ej.: Rosa, cajera → Vendedor/a de tienda; Marleny, limpieza → Conserje).</t>
  </si>
  <si>
    <t xml:space="preserve">Contraste con avisos reales</t>
  </si>
  <si>
    <t xml:space="preserve">Los «alias» de cada ocupación salen de cómo se publican los avisos (ej.: Vendedor/a de tienda = Asesor/a de ventas). Se revisa que los avisos de la ocupación destino pidan las habilidades que la matriz dice que comparten.</t>
  </si>
  <si>
    <t xml:space="preserve">Parcial</t>
  </si>
  <si>
    <t xml:space="preserve">Estándares de competencia del MTPE</t>
  </si>
  <si>
    <t xml:space="preserve">Reemplazar las 7 habilidades de ejemplo de cada ocupación por las unidades de competencia oficiales. La matriz se recalcula sola al cambiar los datos.</t>
  </si>
  <si>
    <t xml:space="preserve">Pendiente</t>
  </si>
  <si>
    <t xml:space="preserve">Validación con expertos (asesores de Centros de Empleo)</t>
  </si>
  <si>
    <t xml:space="preserve">Los asesores califican si cada transición propuesta es realista (tabla de abajo). Si una ruta cercana sale mal calificada, se revisan sus habilidades o pesos.</t>
  </si>
  <si>
    <t xml:space="preserve">Demanda real (EDO 2026)</t>
  </si>
  <si>
    <t xml:space="preserve">Que la ocupación destino tenga demanda en la región. Hoy la demanda es de ejemplo.</t>
  </si>
  <si>
    <t xml:space="preserve">Transiciones observadas</t>
  </si>
  <si>
    <t xml:space="preserve">Con datos de colocaciones (Empleos Perú / Centros de Empleo), comprobar que las personas sí pasan entre las ocupaciones que la matriz marca como cercanas.</t>
  </si>
  <si>
    <t xml:space="preserve">Futuro</t>
  </si>
  <si>
    <t xml:space="preserve">Plantilla de validación con asesores</t>
  </si>
  <si>
    <t xml:space="preserve">Para llenar: celdas amarillas. Calificación de 1 (nada realista) a 5 (muy realista; es común que la gente pase así). Ejemplo de respuesta: 4 — «Sí, muchas cajeras pasan a ventas en la misma tienda».</t>
  </si>
  <si>
    <t xml:space="preserve">¿Es realista? (1–5)</t>
  </si>
  <si>
    <t xml:space="preserve">Comentario del asesor</t>
  </si>
  <si>
    <t xml:space="preserve">Nombre del asesor y Centro de Empleo</t>
  </si>
  <si>
    <t xml:space="preserve">Promedio de las calificaciones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</si>
</sst>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1A17"/>
      <name val="Arial"/>
      <family val="0"/>
      <charset val="1"/>
    </font>
    <font>
      <i val="true"/>
      <sz val="10"/>
      <color rgb="FF4A5A55"/>
      <name val="Arial"/>
      <family val="0"/>
      <charset val="1"/>
    </font>
    <font>
      <b val="true"/>
      <sz val="11"/>
      <color rgb="FF1A7A5C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4A5A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E1A17"/>
        <bgColor rgb="FF000000"/>
      </patternFill>
    </fill>
    <fill>
      <patternFill patternType="solid">
        <fgColor rgb="FF1A7A5C"/>
        <bgColor rgb="FF008080"/>
      </patternFill>
    </fill>
    <fill>
      <patternFill patternType="solid">
        <fgColor rgb="FFFDE9B9"/>
        <bgColor rgb="FFE3E9E7"/>
      </patternFill>
    </fill>
    <fill>
      <patternFill patternType="solid">
        <fgColor rgb="FFCDEBDF"/>
        <bgColor rgb="FFD3DED9"/>
      </patternFill>
    </fill>
    <fill>
      <patternFill patternType="solid">
        <fgColor rgb="FFE3E9E7"/>
        <bgColor rgb="FFF2F2F2"/>
      </patternFill>
    </fill>
    <fill>
      <patternFill patternType="solid">
        <fgColor rgb="FFD9D9D9"/>
        <bgColor rgb="FFD3DED9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ED9"/>
      </left>
      <right style="thin">
        <color rgb="FFD3DED9"/>
      </right>
      <top style="thin">
        <color rgb="FFD3DED9"/>
      </top>
      <bottom style="thin">
        <color rgb="FFD3DED9"/>
      </bottom>
      <diagonal/>
    </border>
    <border diagonalUp="false" diagonalDown="false">
      <left style="thin">
        <color rgb="FFD3DED9"/>
      </left>
      <right style="thin">
        <color rgb="FFD3DED9"/>
      </right>
      <top style="medium">
        <color rgb="FF0E1A17"/>
      </top>
      <bottom style="thin">
        <color rgb="FFD3DE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3">
    <dxf>
      <fill>
        <patternFill>
          <bgColor rgb="FFF5B82E"/>
        </patternFill>
      </fill>
    </dxf>
    <dxf>
      <fill>
        <patternFill>
          <bgColor rgb="FFD9D9D9"/>
        </patternFill>
      </fill>
    </dxf>
    <dxf>
      <fill>
        <patternFill patternType="solid">
          <fgColor rgb="FF0E1A1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2A57F"/>
          <bgColor rgb="FF000000"/>
        </patternFill>
      </fill>
    </dxf>
    <dxf>
      <fill>
        <patternFill patternType="solid">
          <fgColor rgb="FF53B088"/>
          <bgColor rgb="FF000000"/>
        </patternFill>
      </fill>
    </dxf>
    <dxf>
      <fill>
        <patternFill patternType="solid">
          <fgColor rgb="FF6EB990"/>
          <bgColor rgb="FF000000"/>
        </patternFill>
      </fill>
    </dxf>
    <dxf>
      <fill>
        <patternFill patternType="solid">
          <fgColor rgb="FF8AC398"/>
          <bgColor rgb="FF000000"/>
        </patternFill>
      </fill>
    </dxf>
    <dxf>
      <fill>
        <patternFill patternType="solid">
          <fgColor rgb="FFC1D5A8"/>
          <bgColor rgb="FF000000"/>
        </patternFill>
      </fill>
    </dxf>
    <dxf>
      <fill>
        <patternFill patternType="solid">
          <fgColor rgb="FFD0DAAC"/>
          <bgColor rgb="FF000000"/>
        </patternFill>
      </fill>
    </dxf>
    <dxf>
      <fill>
        <patternFill patternType="solid">
          <fgColor rgb="FFD5DCAE"/>
          <bgColor rgb="FF000000"/>
        </patternFill>
      </fill>
    </dxf>
    <dxf>
      <fill>
        <patternFill patternType="solid">
          <fgColor rgb="FFE6E2B3"/>
          <bgColor rgb="FF000000"/>
        </patternFill>
      </fill>
    </dxf>
    <dxf>
      <fill>
        <patternFill patternType="solid">
          <fgColor rgb="FFF8E8B8"/>
          <bgColor rgb="FF000000"/>
        </patternFill>
      </fill>
    </dxf>
    <dxf>
      <fill>
        <patternFill patternType="solid">
          <fgColor rgb="FFFEEBBD"/>
          <bgColor rgb="FF000000"/>
        </patternFill>
      </fill>
    </dxf>
    <dxf>
      <fill>
        <patternFill patternType="solid">
          <fgColor rgb="FFFEEBC0"/>
          <bgColor rgb="FF000000"/>
        </patternFill>
      </fill>
    </dxf>
    <dxf>
      <fill>
        <patternFill patternType="solid">
          <fgColor rgb="FFFEEDC5"/>
          <bgColor rgb="FF000000"/>
        </patternFill>
      </fill>
    </dxf>
    <dxf>
      <fill>
        <patternFill patternType="solid">
          <fgColor rgb="FFFEEFCA"/>
          <bgColor rgb="FF000000"/>
        </patternFill>
      </fill>
    </dxf>
    <dxf>
      <fill>
        <patternFill patternType="solid">
          <fgColor rgb="FFFEF0CD"/>
          <bgColor rgb="FF000000"/>
        </patternFill>
      </fill>
    </dxf>
    <dxf>
      <fill>
        <patternFill patternType="solid">
          <fgColor rgb="FFFEF2D5"/>
          <bgColor rgb="FF000000"/>
        </patternFill>
      </fill>
    </dxf>
    <dxf>
      <fill>
        <patternFill patternType="solid">
          <fgColor rgb="FFFEF3D9"/>
          <bgColor rgb="FF000000"/>
        </patternFill>
      </fill>
    </dxf>
    <dxf>
      <fill>
        <patternFill patternType="solid">
          <fgColor rgb="FFFEF4DC"/>
          <bgColor rgb="FF000000"/>
        </patternFill>
      </fill>
    </dxf>
    <dxf>
      <fill>
        <patternFill patternType="solid">
          <fgColor rgb="FFFFF5DE"/>
          <bgColor rgb="FF000000"/>
        </patternFill>
      </fill>
    </dxf>
    <dxf>
      <fill>
        <patternFill patternType="solid">
          <fgColor rgb="FFFFF9EA"/>
          <bgColor rgb="FF000000"/>
        </patternFill>
      </fill>
    </dxf>
    <dxf>
      <fill>
        <patternFill patternType="solid">
          <fgColor rgb="FFFFF9EC"/>
          <bgColor rgb="FF000000"/>
        </patternFill>
      </fill>
    </dxf>
    <dxf>
      <fill>
        <patternFill patternType="solid">
          <fgColor rgb="FFFFFAEE"/>
          <bgColor rgb="FF000000"/>
        </patternFill>
      </fill>
    </dxf>
    <dxf>
      <fill>
        <patternFill patternType="solid">
          <fgColor rgb="FFFFFAEF"/>
          <bgColor rgb="FF000000"/>
        </patternFill>
      </fill>
    </dxf>
    <dxf>
      <fill>
        <patternFill patternType="solid">
          <fgColor rgb="FFCDEBD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E9B9"/>
          <bgColor rgb="FF000000"/>
        </patternFill>
      </fill>
    </dxf>
    <dxf>
      <fill>
        <patternFill>
          <bgColor rgb="FFCDEBDF"/>
        </patternFill>
      </fill>
    </dxf>
    <dxf>
      <fill>
        <patternFill>
          <bgColor rgb="FFFDE9B9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5C"/>
      <rgbColor rgb="FFD3DED9"/>
      <rgbColor rgb="FF808080"/>
      <rgbColor rgb="FF9999FF"/>
      <rgbColor rgb="FF993366"/>
      <rgbColor rgb="FFF2F2F2"/>
      <rgbColor rgb="FFE3E9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F"/>
      <rgbColor rgb="FFFDE9B9"/>
      <rgbColor rgb="FF99CCFF"/>
      <rgbColor rgb="FFFF99CC"/>
      <rgbColor rgb="FFCC99FF"/>
      <rgbColor rgb="FFFFCC99"/>
      <rgbColor rgb="FF3366FF"/>
      <rgbColor rgb="FF33CCCC"/>
      <rgbColor rgb="FF99CC00"/>
      <rgbColor rgb="FFF5B82E"/>
      <rgbColor rgb="FFFF9900"/>
      <rgbColor rgb="FFFF6600"/>
      <rgbColor rgb="FF4A5A55"/>
      <rgbColor rgb="FF969696"/>
      <rgbColor rgb="FF003366"/>
      <rgbColor rgb="FF339966"/>
      <rgbColor rgb="FF0E1A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61.5" hidden="false" customHeight="true" outlineLevel="0" collapsed="false">
      <c r="A4" s="3" t="s">
        <v>2</v>
      </c>
      <c r="B4" s="4" t="s">
        <v>3</v>
      </c>
    </row>
    <row r="5" customFormat="false" ht="61.5" hidden="false" customHeight="true" outlineLevel="0" collapsed="false">
      <c r="A5" s="3" t="s">
        <v>4</v>
      </c>
      <c r="B5" s="4" t="s">
        <v>5</v>
      </c>
    </row>
    <row r="6" customFormat="false" ht="61.5" hidden="false" customHeight="true" outlineLevel="0" collapsed="false">
      <c r="A6" s="3" t="s">
        <v>6</v>
      </c>
      <c r="B6" s="4" t="s">
        <v>7</v>
      </c>
    </row>
    <row r="7" customFormat="false" ht="61.5" hidden="false" customHeight="true" outlineLevel="0" collapsed="false">
      <c r="A7" s="3" t="s">
        <v>8</v>
      </c>
      <c r="B7" s="4" t="s">
        <v>9</v>
      </c>
    </row>
    <row r="8" customFormat="false" ht="61.5" hidden="false" customHeight="true" outlineLevel="0" collapsed="false">
      <c r="A8" s="3" t="s">
        <v>10</v>
      </c>
      <c r="B8" s="4" t="s">
        <v>11</v>
      </c>
    </row>
    <row r="9" customFormat="false" ht="61.5" hidden="false" customHeight="true" outlineLevel="0" collapsed="false">
      <c r="A9" s="3" t="s">
        <v>12</v>
      </c>
      <c r="B9" s="4" t="s">
        <v>13</v>
      </c>
    </row>
    <row r="10" customFormat="false" ht="61.5" hidden="false" customHeight="true" outlineLevel="0" collapsed="false">
      <c r="A10" s="3" t="s">
        <v>14</v>
      </c>
      <c r="B10" s="4" t="s">
        <v>15</v>
      </c>
    </row>
    <row r="11" customFormat="false" ht="61.5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22</v>
      </c>
    </row>
    <row r="5" customFormat="false" ht="15" hidden="false" customHeight="false" outlineLevel="0" collapsed="false">
      <c r="A5" s="6" t="s">
        <v>23</v>
      </c>
      <c r="B5" s="7" t="n">
        <v>3</v>
      </c>
      <c r="C5" s="8" t="s">
        <v>24</v>
      </c>
    </row>
    <row r="6" customFormat="false" ht="15" hidden="false" customHeight="false" outlineLevel="0" collapsed="false">
      <c r="A6" s="9" t="s">
        <v>25</v>
      </c>
      <c r="B6" s="7" t="n">
        <v>2</v>
      </c>
      <c r="C6" s="8" t="s">
        <v>26</v>
      </c>
    </row>
    <row r="7" customFormat="false" ht="15" hidden="false" customHeight="false" outlineLevel="0" collapsed="false">
      <c r="A7" s="10" t="s">
        <v>27</v>
      </c>
      <c r="B7" s="7" t="n">
        <v>2</v>
      </c>
      <c r="C7" s="8" t="s">
        <v>28</v>
      </c>
    </row>
    <row r="8" customFormat="false" ht="15" hidden="false" customHeight="false" outlineLevel="0" collapsed="false">
      <c r="A8" s="11" t="s">
        <v>29</v>
      </c>
      <c r="B8" s="7" t="n">
        <v>1</v>
      </c>
      <c r="C8" s="8" t="s">
        <v>30</v>
      </c>
    </row>
    <row r="9" customFormat="false" ht="15" hidden="false" customHeight="true" outlineLevel="0" collapsed="false">
      <c r="A9" s="12" t="s">
        <v>31</v>
      </c>
      <c r="B9" s="12"/>
      <c r="C9" s="12"/>
    </row>
    <row r="10" customFormat="false" ht="15" hidden="false" customHeight="false" outlineLevel="0" collapsed="false">
      <c r="A10" s="12"/>
      <c r="B10" s="12"/>
      <c r="C10" s="12"/>
    </row>
    <row r="11" customFormat="false" ht="15" hidden="false" customHeight="false" outlineLevel="0" collapsed="false">
      <c r="A11" s="5" t="s">
        <v>32</v>
      </c>
      <c r="B11" s="5" t="s">
        <v>33</v>
      </c>
      <c r="C11" s="5" t="s">
        <v>34</v>
      </c>
    </row>
    <row r="12" customFormat="false" ht="15" hidden="false" customHeight="false" outlineLevel="0" collapsed="false">
      <c r="A12" s="13" t="s">
        <v>35</v>
      </c>
      <c r="B12" s="14" t="n">
        <v>0.4</v>
      </c>
      <c r="C12" s="8" t="s">
        <v>36</v>
      </c>
    </row>
    <row r="13" customFormat="false" ht="15" hidden="false" customHeight="false" outlineLevel="0" collapsed="false">
      <c r="A13" s="13" t="s">
        <v>37</v>
      </c>
      <c r="B13" s="14" t="n">
        <v>0.2</v>
      </c>
      <c r="C13" s="8" t="s">
        <v>38</v>
      </c>
    </row>
    <row r="14" customFormat="false" ht="15" hidden="false" customHeight="false" outlineLevel="0" collapsed="false">
      <c r="A14" s="13" t="s">
        <v>39</v>
      </c>
      <c r="B14" s="14" t="n">
        <v>0</v>
      </c>
      <c r="C14" s="8" t="s">
        <v>40</v>
      </c>
    </row>
    <row r="15" customFormat="false" ht="15" hidden="false" customHeight="true" outlineLevel="0" collapsed="false">
      <c r="A15" s="12" t="s">
        <v>41</v>
      </c>
      <c r="B15" s="12"/>
      <c r="C15" s="12"/>
    </row>
    <row r="16" customFormat="false" ht="15" hidden="false" customHeight="false" outlineLevel="0" collapsed="false">
      <c r="A16" s="12"/>
      <c r="B16" s="12"/>
      <c r="C16" s="12"/>
    </row>
    <row r="17" customFormat="false" ht="15" hidden="false" customHeight="false" outlineLevel="0" collapsed="false">
      <c r="A17" s="12"/>
      <c r="B17" s="12"/>
      <c r="C17" s="12"/>
    </row>
  </sheetData>
  <mergeCells count="2">
    <mergeCell ref="A9:C10"/>
    <mergeCell ref="A15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24"/>
    <col collapsed="false" customWidth="true" hidden="false" outlineLevel="0" max="7" min="7" style="0" width="7"/>
    <col collapsed="false" customWidth="true" hidden="false" outlineLevel="0" max="8" min="8" style="0" width="24"/>
    <col collapsed="false" customWidth="true" hidden="false" outlineLevel="0" max="9" min="9" style="0" width="7"/>
    <col collapsed="false" customWidth="true" hidden="false" outlineLevel="0" max="10" min="10" style="0" width="52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30" hidden="false" customHeight="true" outlineLevel="0" collapsed="false">
      <c r="A4" s="5" t="s">
        <v>44</v>
      </c>
      <c r="B4" s="5" t="s">
        <v>45</v>
      </c>
      <c r="C4" s="5" t="s">
        <v>46</v>
      </c>
      <c r="D4" s="5" t="s">
        <v>47</v>
      </c>
      <c r="E4" s="5" t="s">
        <v>46</v>
      </c>
      <c r="F4" s="5" t="s">
        <v>48</v>
      </c>
      <c r="G4" s="5" t="s">
        <v>46</v>
      </c>
      <c r="H4" s="5" t="s">
        <v>49</v>
      </c>
      <c r="I4" s="5" t="s">
        <v>46</v>
      </c>
      <c r="J4" s="5" t="s">
        <v>50</v>
      </c>
    </row>
    <row r="5" customFormat="false" ht="31.5" hidden="false" customHeight="true" outlineLevel="0" collapsed="false">
      <c r="A5" s="15" t="s">
        <v>51</v>
      </c>
      <c r="B5" s="16" t="s">
        <v>52</v>
      </c>
      <c r="C5" s="17" t="n">
        <f aca="false">INDEX(Proximidad!$C$6:$O$18,MATCH($A5,Proximidad!$B$6:$B$18,0),MATCH(B5,Proximidad!$C$5:$O$5,0))</f>
        <v>0.5</v>
      </c>
      <c r="D5" s="16" t="s">
        <v>53</v>
      </c>
      <c r="E5" s="17" t="n">
        <f aca="false">INDEX(Proximidad!$C$6:$O$18,MATCH($A5,Proximidad!$B$6:$B$18,0),MATCH(D5,Proximidad!$C$5:$O$5,0))</f>
        <v>0.384615384615385</v>
      </c>
      <c r="F5" s="16" t="s">
        <v>54</v>
      </c>
      <c r="G5" s="17" t="n">
        <f aca="false">INDEX(Proximidad!$C$6:$O$18,MATCH($A5,Proximidad!$B$6:$B$18,0),MATCH(F5,Proximidad!$C$5:$O$5,0))</f>
        <v>0.25</v>
      </c>
      <c r="H5" s="16" t="s">
        <v>55</v>
      </c>
      <c r="I5" s="17" t="n">
        <f aca="false">INDEX(Proximidad!$C$6:$O$18,MATCH($A5,Proximidad!$B$6:$B$18,0),MATCH(H5,Proximidad!$C$5:$O$5,0))</f>
        <v>0</v>
      </c>
      <c r="J5" s="16" t="s">
        <v>56</v>
      </c>
    </row>
    <row r="6" customFormat="false" ht="31.5" hidden="false" customHeight="true" outlineLevel="0" collapsed="false">
      <c r="A6" s="15" t="s">
        <v>52</v>
      </c>
      <c r="B6" s="16" t="s">
        <v>51</v>
      </c>
      <c r="C6" s="17" t="n">
        <f aca="false">INDEX(Proximidad!$C$6:$O$18,MATCH($A6,Proximidad!$B$6:$B$18,0),MATCH(B6,Proximidad!$C$5:$O$5,0))</f>
        <v>0.538461538461538</v>
      </c>
      <c r="D6" s="16" t="s">
        <v>53</v>
      </c>
      <c r="E6" s="17" t="n">
        <f aca="false">INDEX(Proximidad!$C$6:$O$18,MATCH($A6,Proximidad!$B$6:$B$18,0),MATCH(D6,Proximidad!$C$5:$O$5,0))</f>
        <v>0.384615384615385</v>
      </c>
      <c r="F6" s="16" t="s">
        <v>57</v>
      </c>
      <c r="G6" s="17" t="n">
        <f aca="false">INDEX(Proximidad!$C$6:$O$18,MATCH($A6,Proximidad!$B$6:$B$18,0),MATCH(F6,Proximidad!$C$5:$O$5,0))</f>
        <v>0.285714285714286</v>
      </c>
      <c r="H6" s="16" t="s">
        <v>58</v>
      </c>
      <c r="I6" s="17" t="n">
        <f aca="false">INDEX(Proximidad!$C$6:$O$18,MATCH($A6,Proximidad!$B$6:$B$18,0),MATCH(H6,Proximidad!$C$5:$O$5,0))</f>
        <v>0</v>
      </c>
      <c r="J6" s="16" t="s">
        <v>59</v>
      </c>
    </row>
    <row r="7" customFormat="false" ht="31.5" hidden="false" customHeight="true" outlineLevel="0" collapsed="false">
      <c r="A7" s="15" t="s">
        <v>55</v>
      </c>
      <c r="B7" s="16" t="s">
        <v>60</v>
      </c>
      <c r="C7" s="17" t="n">
        <f aca="false">INDEX(Proximidad!$C$6:$O$18,MATCH($A7,Proximidad!$B$6:$B$18,0),MATCH(B7,Proximidad!$C$5:$O$5,0))</f>
        <v>0.461538461538462</v>
      </c>
      <c r="D7" s="16" t="s">
        <v>61</v>
      </c>
      <c r="E7" s="17" t="n">
        <f aca="false">INDEX(Proximidad!$C$6:$O$18,MATCH($A7,Proximidad!$B$6:$B$18,0),MATCH(D7,Proximidad!$C$5:$O$5,0))</f>
        <v>0.181818181818182</v>
      </c>
      <c r="F7" s="16" t="s">
        <v>52</v>
      </c>
      <c r="G7" s="17" t="n">
        <f aca="false">INDEX(Proximidad!$C$6:$O$18,MATCH($A7,Proximidad!$B$6:$B$18,0),MATCH(F7,Proximidad!$C$5:$O$5,0))</f>
        <v>0.142857142857143</v>
      </c>
      <c r="H7" s="16" t="s">
        <v>53</v>
      </c>
      <c r="I7" s="17" t="n">
        <f aca="false">INDEX(Proximidad!$C$6:$O$18,MATCH($A7,Proximidad!$B$6:$B$18,0),MATCH(H7,Proximidad!$C$5:$O$5,0))</f>
        <v>0</v>
      </c>
      <c r="J7" s="16" t="s">
        <v>62</v>
      </c>
    </row>
    <row r="8" customFormat="false" ht="31.5" hidden="false" customHeight="true" outlineLevel="0" collapsed="false">
      <c r="A8" s="15" t="s">
        <v>63</v>
      </c>
      <c r="B8" s="16" t="s">
        <v>57</v>
      </c>
      <c r="C8" s="17" t="n">
        <f aca="false">INDEX(Proximidad!$C$6:$O$18,MATCH($A8,Proximidad!$B$6:$B$18,0),MATCH(B8,Proximidad!$C$5:$O$5,0))</f>
        <v>0.285714285714286</v>
      </c>
      <c r="D8" s="16" t="s">
        <v>64</v>
      </c>
      <c r="E8" s="17" t="n">
        <f aca="false">INDEX(Proximidad!$C$6:$O$18,MATCH($A8,Proximidad!$B$6:$B$18,0),MATCH(D8,Proximidad!$C$5:$O$5,0))</f>
        <v>0.25</v>
      </c>
      <c r="F8" s="16" t="s">
        <v>60</v>
      </c>
      <c r="G8" s="17" t="n">
        <f aca="false">INDEX(Proximidad!$C$6:$O$18,MATCH($A8,Proximidad!$B$6:$B$18,0),MATCH(F8,Proximidad!$C$5:$O$5,0))</f>
        <v>0.230769230769231</v>
      </c>
      <c r="H8" s="16" t="s">
        <v>52</v>
      </c>
      <c r="I8" s="17" t="n">
        <f aca="false">INDEX(Proximidad!$C$6:$O$18,MATCH($A8,Proximidad!$B$6:$B$18,0),MATCH(H8,Proximidad!$C$5:$O$5,0))</f>
        <v>0</v>
      </c>
      <c r="J8" s="16" t="s">
        <v>65</v>
      </c>
    </row>
    <row r="9" customFormat="false" ht="31.5" hidden="false" customHeight="true" outlineLevel="0" collapsed="false">
      <c r="A9" s="15" t="s">
        <v>58</v>
      </c>
      <c r="B9" s="16" t="s">
        <v>64</v>
      </c>
      <c r="C9" s="17" t="n">
        <f aca="false">INDEX(Proximidad!$C$6:$O$18,MATCH($A9,Proximidad!$B$6:$B$18,0),MATCH(B9,Proximidad!$C$5:$O$5,0))</f>
        <v>0.583333333333333</v>
      </c>
      <c r="D9" s="16" t="s">
        <v>61</v>
      </c>
      <c r="E9" s="17" t="n">
        <f aca="false">INDEX(Proximidad!$C$6:$O$18,MATCH($A9,Proximidad!$B$6:$B$18,0),MATCH(D9,Proximidad!$C$5:$O$5,0))</f>
        <v>0.272727272727273</v>
      </c>
      <c r="F9" s="16" t="s">
        <v>54</v>
      </c>
      <c r="G9" s="17" t="n">
        <f aca="false">INDEX(Proximidad!$C$6:$O$18,MATCH($A9,Proximidad!$B$6:$B$18,0),MATCH(F9,Proximidad!$C$5:$O$5,0))</f>
        <v>0.25</v>
      </c>
      <c r="H9" s="16" t="s">
        <v>52</v>
      </c>
      <c r="I9" s="17" t="n">
        <f aca="false">INDEX(Proximidad!$C$6:$O$18,MATCH($A9,Proximidad!$B$6:$B$18,0),MATCH(H9,Proximidad!$C$5:$O$5,0))</f>
        <v>0</v>
      </c>
      <c r="J9" s="16" t="s">
        <v>66</v>
      </c>
    </row>
    <row r="10" customFormat="false" ht="31.5" hidden="false" customHeight="true" outlineLevel="0" collapsed="false">
      <c r="A10" s="15" t="s">
        <v>67</v>
      </c>
      <c r="B10" s="16" t="s">
        <v>68</v>
      </c>
      <c r="C10" s="17" t="n">
        <f aca="false">INDEX(Proximidad!$C$6:$O$18,MATCH($A10,Proximidad!$B$6:$B$18,0),MATCH(B10,Proximidad!$C$5:$O$5,0))</f>
        <v>0.333333333333333</v>
      </c>
      <c r="D10" s="16" t="s">
        <v>54</v>
      </c>
      <c r="E10" s="17" t="n">
        <f aca="false">INDEX(Proximidad!$C$6:$O$18,MATCH($A10,Proximidad!$B$6:$B$18,0),MATCH(D10,Proximidad!$C$5:$O$5,0))</f>
        <v>0.25</v>
      </c>
      <c r="F10" s="16" t="s">
        <v>60</v>
      </c>
      <c r="G10" s="17" t="n">
        <f aca="false">INDEX(Proximidad!$C$6:$O$18,MATCH($A10,Proximidad!$B$6:$B$18,0),MATCH(F10,Proximidad!$C$5:$O$5,0))</f>
        <v>0.230769230769231</v>
      </c>
      <c r="H10" s="16" t="s">
        <v>52</v>
      </c>
      <c r="I10" s="17" t="n">
        <f aca="false">INDEX(Proximidad!$C$6:$O$18,MATCH($A10,Proximidad!$B$6:$B$18,0),MATCH(H10,Proximidad!$C$5:$O$5,0))</f>
        <v>0</v>
      </c>
      <c r="J10" s="16" t="s">
        <v>69</v>
      </c>
    </row>
    <row r="11" customFormat="false" ht="31.5" hidden="false" customHeight="true" outlineLevel="0" collapsed="false">
      <c r="A11" s="15" t="s">
        <v>53</v>
      </c>
      <c r="B11" s="16" t="s">
        <v>51</v>
      </c>
      <c r="C11" s="17" t="n">
        <f aca="false">INDEX(Proximidad!$C$6:$O$18,MATCH($A11,Proximidad!$B$6:$B$18,0),MATCH(B11,Proximidad!$C$5:$O$5,0))</f>
        <v>0.384615384615385</v>
      </c>
      <c r="D11" s="16" t="s">
        <v>52</v>
      </c>
      <c r="E11" s="17" t="n">
        <f aca="false">INDEX(Proximidad!$C$6:$O$18,MATCH($A11,Proximidad!$B$6:$B$18,0),MATCH(D11,Proximidad!$C$5:$O$5,0))</f>
        <v>0.357142857142857</v>
      </c>
      <c r="F11" s="16" t="s">
        <v>68</v>
      </c>
      <c r="G11" s="17" t="n">
        <f aca="false">INDEX(Proximidad!$C$6:$O$18,MATCH($A11,Proximidad!$B$6:$B$18,0),MATCH(F11,Proximidad!$C$5:$O$5,0))</f>
        <v>0.333333333333333</v>
      </c>
      <c r="H11" s="16" t="s">
        <v>55</v>
      </c>
      <c r="I11" s="17" t="n">
        <f aca="false">INDEX(Proximidad!$C$6:$O$18,MATCH($A11,Proximidad!$B$6:$B$18,0),MATCH(H11,Proximidad!$C$5:$O$5,0))</f>
        <v>0</v>
      </c>
      <c r="J11" s="16" t="s">
        <v>70</v>
      </c>
    </row>
    <row r="12" customFormat="false" ht="31.5" hidden="false" customHeight="true" outlineLevel="0" collapsed="false">
      <c r="A12" s="15" t="s">
        <v>60</v>
      </c>
      <c r="B12" s="16" t="s">
        <v>55</v>
      </c>
      <c r="C12" s="17" t="n">
        <f aca="false">INDEX(Proximidad!$C$6:$O$18,MATCH($A12,Proximidad!$B$6:$B$18,0),MATCH(B12,Proximidad!$C$5:$O$5,0))</f>
        <v>0.461538461538462</v>
      </c>
      <c r="D12" s="16" t="s">
        <v>61</v>
      </c>
      <c r="E12" s="17" t="n">
        <f aca="false">INDEX(Proximidad!$C$6:$O$18,MATCH($A12,Proximidad!$B$6:$B$18,0),MATCH(D12,Proximidad!$C$5:$O$5,0))</f>
        <v>0.363636363636364</v>
      </c>
      <c r="F12" s="16" t="s">
        <v>64</v>
      </c>
      <c r="G12" s="17" t="n">
        <f aca="false">INDEX(Proximidad!$C$6:$O$18,MATCH($A12,Proximidad!$B$6:$B$18,0),MATCH(F12,Proximidad!$C$5:$O$5,0))</f>
        <v>0.333333333333333</v>
      </c>
      <c r="H12" s="16" t="s">
        <v>52</v>
      </c>
      <c r="I12" s="17" t="n">
        <f aca="false">INDEX(Proximidad!$C$6:$O$18,MATCH($A12,Proximidad!$B$6:$B$18,0),MATCH(H12,Proximidad!$C$5:$O$5,0))</f>
        <v>0</v>
      </c>
      <c r="J12" s="16" t="s">
        <v>71</v>
      </c>
    </row>
    <row r="13" customFormat="false" ht="31.5" hidden="false" customHeight="true" outlineLevel="0" collapsed="false">
      <c r="A13" s="15" t="s">
        <v>54</v>
      </c>
      <c r="B13" s="16" t="s">
        <v>60</v>
      </c>
      <c r="C13" s="17" t="n">
        <f aca="false">INDEX(Proximidad!$C$6:$O$18,MATCH($A13,Proximidad!$B$6:$B$18,0),MATCH(B13,Proximidad!$C$5:$O$5,0))</f>
        <v>0.307692307692308</v>
      </c>
      <c r="D13" s="16" t="s">
        <v>58</v>
      </c>
      <c r="E13" s="17" t="n">
        <f aca="false">INDEX(Proximidad!$C$6:$O$18,MATCH($A13,Proximidad!$B$6:$B$18,0),MATCH(D13,Proximidad!$C$5:$O$5,0))</f>
        <v>0.25</v>
      </c>
      <c r="F13" s="16" t="s">
        <v>67</v>
      </c>
      <c r="G13" s="17" t="n">
        <f aca="false">INDEX(Proximidad!$C$6:$O$18,MATCH($A13,Proximidad!$B$6:$B$18,0),MATCH(F13,Proximidad!$C$5:$O$5,0))</f>
        <v>0.230769230769231</v>
      </c>
      <c r="H13" s="16" t="s">
        <v>57</v>
      </c>
      <c r="I13" s="17" t="n">
        <f aca="false">INDEX(Proximidad!$C$6:$O$18,MATCH($A13,Proximidad!$B$6:$B$18,0),MATCH(H13,Proximidad!$C$5:$O$5,0))</f>
        <v>0</v>
      </c>
      <c r="J13" s="16" t="s">
        <v>72</v>
      </c>
    </row>
    <row r="14" customFormat="false" ht="31.5" hidden="false" customHeight="true" outlineLevel="0" collapsed="false">
      <c r="A14" s="15" t="s">
        <v>61</v>
      </c>
      <c r="B14" s="16" t="s">
        <v>60</v>
      </c>
      <c r="C14" s="17" t="n">
        <f aca="false">INDEX(Proximidad!$C$6:$O$18,MATCH($A14,Proximidad!$B$6:$B$18,0),MATCH(B14,Proximidad!$C$5:$O$5,0))</f>
        <v>0.307692307692308</v>
      </c>
      <c r="D14" s="16" t="s">
        <v>64</v>
      </c>
      <c r="E14" s="17" t="n">
        <f aca="false">INDEX(Proximidad!$C$6:$O$18,MATCH($A14,Proximidad!$B$6:$B$18,0),MATCH(D14,Proximidad!$C$5:$O$5,0))</f>
        <v>0.25</v>
      </c>
      <c r="F14" s="16" t="s">
        <v>58</v>
      </c>
      <c r="G14" s="17" t="n">
        <f aca="false">INDEX(Proximidad!$C$6:$O$18,MATCH($A14,Proximidad!$B$6:$B$18,0),MATCH(F14,Proximidad!$C$5:$O$5,0))</f>
        <v>0.25</v>
      </c>
      <c r="H14" s="16" t="s">
        <v>52</v>
      </c>
      <c r="I14" s="17" t="n">
        <f aca="false">INDEX(Proximidad!$C$6:$O$18,MATCH($A14,Proximidad!$B$6:$B$18,0),MATCH(H14,Proximidad!$C$5:$O$5,0))</f>
        <v>0</v>
      </c>
      <c r="J14" s="16" t="s">
        <v>73</v>
      </c>
    </row>
    <row r="15" customFormat="false" ht="31.5" hidden="false" customHeight="true" outlineLevel="0" collapsed="false">
      <c r="A15" s="15" t="s">
        <v>57</v>
      </c>
      <c r="B15" s="16" t="s">
        <v>63</v>
      </c>
      <c r="C15" s="17" t="n">
        <f aca="false">INDEX(Proximidad!$C$6:$O$18,MATCH($A15,Proximidad!$B$6:$B$18,0),MATCH(B15,Proximidad!$C$5:$O$5,0))</f>
        <v>0.307692307692308</v>
      </c>
      <c r="D15" s="16" t="s">
        <v>52</v>
      </c>
      <c r="E15" s="17" t="n">
        <f aca="false">INDEX(Proximidad!$C$6:$O$18,MATCH($A15,Proximidad!$B$6:$B$18,0),MATCH(D15,Proximidad!$C$5:$O$5,0))</f>
        <v>0.285714285714286</v>
      </c>
      <c r="F15" s="16" t="s">
        <v>53</v>
      </c>
      <c r="G15" s="17" t="n">
        <f aca="false">INDEX(Proximidad!$C$6:$O$18,MATCH($A15,Proximidad!$B$6:$B$18,0),MATCH(F15,Proximidad!$C$5:$O$5,0))</f>
        <v>0.230769230769231</v>
      </c>
      <c r="H15" s="16" t="s">
        <v>55</v>
      </c>
      <c r="I15" s="17" t="n">
        <f aca="false">INDEX(Proximidad!$C$6:$O$18,MATCH($A15,Proximidad!$B$6:$B$18,0),MATCH(H15,Proximidad!$C$5:$O$5,0))</f>
        <v>0</v>
      </c>
      <c r="J15" s="16" t="s">
        <v>65</v>
      </c>
    </row>
    <row r="16" customFormat="false" ht="31.5" hidden="false" customHeight="true" outlineLevel="0" collapsed="false">
      <c r="A16" s="15" t="s">
        <v>68</v>
      </c>
      <c r="B16" s="16" t="s">
        <v>67</v>
      </c>
      <c r="C16" s="17" t="n">
        <f aca="false">INDEX(Proximidad!$C$6:$O$18,MATCH($A16,Proximidad!$B$6:$B$18,0),MATCH(B16,Proximidad!$C$5:$O$5,0))</f>
        <v>0.307692307692308</v>
      </c>
      <c r="D16" s="16" t="s">
        <v>53</v>
      </c>
      <c r="E16" s="17" t="n">
        <f aca="false">INDEX(Proximidad!$C$6:$O$18,MATCH($A16,Proximidad!$B$6:$B$18,0),MATCH(D16,Proximidad!$C$5:$O$5,0))</f>
        <v>0.307692307692308</v>
      </c>
      <c r="F16" s="16" t="s">
        <v>64</v>
      </c>
      <c r="G16" s="17" t="n">
        <f aca="false">INDEX(Proximidad!$C$6:$O$18,MATCH($A16,Proximidad!$B$6:$B$18,0),MATCH(F16,Proximidad!$C$5:$O$5,0))</f>
        <v>0.166666666666667</v>
      </c>
      <c r="H16" s="16" t="s">
        <v>55</v>
      </c>
      <c r="I16" s="17" t="n">
        <f aca="false">INDEX(Proximidad!$C$6:$O$18,MATCH($A16,Proximidad!$B$6:$B$18,0),MATCH(H16,Proximidad!$C$5:$O$5,0))</f>
        <v>0</v>
      </c>
      <c r="J16" s="16" t="s">
        <v>74</v>
      </c>
    </row>
    <row r="17" customFormat="false" ht="31.5" hidden="false" customHeight="true" outlineLevel="0" collapsed="false">
      <c r="A17" s="15" t="s">
        <v>64</v>
      </c>
      <c r="B17" s="16" t="s">
        <v>58</v>
      </c>
      <c r="C17" s="17" t="n">
        <f aca="false">INDEX(Proximidad!$C$6:$O$18,MATCH($A17,Proximidad!$B$6:$B$18,0),MATCH(B17,Proximidad!$C$5:$O$5,0))</f>
        <v>0.583333333333333</v>
      </c>
      <c r="D17" s="16" t="s">
        <v>60</v>
      </c>
      <c r="E17" s="17" t="n">
        <f aca="false">INDEX(Proximidad!$C$6:$O$18,MATCH($A17,Proximidad!$B$6:$B$18,0),MATCH(D17,Proximidad!$C$5:$O$5,0))</f>
        <v>0.307692307692308</v>
      </c>
      <c r="F17" s="16" t="s">
        <v>61</v>
      </c>
      <c r="G17" s="17" t="n">
        <f aca="false">INDEX(Proximidad!$C$6:$O$18,MATCH($A17,Proximidad!$B$6:$B$18,0),MATCH(F17,Proximidad!$C$5:$O$5,0))</f>
        <v>0.272727272727273</v>
      </c>
      <c r="H17" s="16" t="s">
        <v>52</v>
      </c>
      <c r="I17" s="17" t="n">
        <f aca="false">INDEX(Proximidad!$C$6:$O$18,MATCH($A17,Proximidad!$B$6:$B$18,0),MATCH(H17,Proximidad!$C$5:$O$5,0))</f>
        <v>0</v>
      </c>
      <c r="J17" s="16" t="s">
        <v>66</v>
      </c>
    </row>
    <row r="19" customFormat="false" ht="15" hidden="false" customHeight="false" outlineLevel="0" collapsed="false">
      <c r="A19" s="18" t="s">
        <v>75</v>
      </c>
    </row>
  </sheetData>
  <conditionalFormatting sqref="C5:C17">
    <cfRule type="colorScale" priority="2">
      <colorScale>
        <cfvo type="num" val="0"/>
        <cfvo type="num" val="0.3"/>
        <cfvo type="num" val="0.6"/>
        <color rgb="FFFFFFFF"/>
        <color rgb="FFFDE9B9"/>
        <color rgb="FF26A17B"/>
      </colorScale>
    </cfRule>
  </conditionalFormatting>
  <conditionalFormatting sqref="E5:E17">
    <cfRule type="colorScale" priority="3">
      <colorScale>
        <cfvo type="num" val="0"/>
        <cfvo type="num" val="0.3"/>
        <cfvo type="num" val="0.6"/>
        <color rgb="FFFFFFFF"/>
        <color rgb="FFFDE9B9"/>
        <color rgb="FF26A17B"/>
      </colorScale>
    </cfRule>
  </conditionalFormatting>
  <conditionalFormatting sqref="G5:G17">
    <cfRule type="colorScale" priority="4">
      <colorScale>
        <cfvo type="num" val="0"/>
        <cfvo type="num" val="0.3"/>
        <cfvo type="num" val="0.6"/>
        <color rgb="FFFFFFFF"/>
        <color rgb="FFFDE9B9"/>
        <color rgb="FF26A17B"/>
      </colorScale>
    </cfRule>
  </conditionalFormatting>
  <conditionalFormatting sqref="I5:I17">
    <cfRule type="colorScale" priority="5">
      <colorScale>
        <cfvo type="num" val="0"/>
        <cfvo type="num" val="0.3"/>
        <color rgb="FFF2F2F2"/>
        <color rgb="FFFDE9B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18" min="6" style="0" width="12"/>
    <col collapsed="false" customWidth="true" hidden="false" outlineLevel="0" max="19" min="19" style="0" width="14"/>
  </cols>
  <sheetData>
    <row r="1" customFormat="false" ht="19.7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5" customFormat="false" ht="61.5" hidden="false" customHeight="true" outlineLevel="0" collapsed="false">
      <c r="A5" s="5" t="s">
        <v>78</v>
      </c>
      <c r="B5" s="5" t="s">
        <v>25</v>
      </c>
      <c r="C5" s="5" t="s">
        <v>79</v>
      </c>
      <c r="D5" s="5" t="s">
        <v>80</v>
      </c>
      <c r="E5" s="5" t="s">
        <v>21</v>
      </c>
      <c r="F5" s="5" t="s">
        <v>51</v>
      </c>
      <c r="G5" s="5" t="s">
        <v>52</v>
      </c>
      <c r="H5" s="5" t="s">
        <v>55</v>
      </c>
      <c r="I5" s="5" t="s">
        <v>63</v>
      </c>
      <c r="J5" s="5" t="s">
        <v>58</v>
      </c>
      <c r="K5" s="5" t="s">
        <v>67</v>
      </c>
      <c r="L5" s="5" t="s">
        <v>53</v>
      </c>
      <c r="M5" s="5" t="s">
        <v>60</v>
      </c>
      <c r="N5" s="5" t="s">
        <v>54</v>
      </c>
      <c r="O5" s="5" t="s">
        <v>61</v>
      </c>
      <c r="P5" s="5" t="s">
        <v>57</v>
      </c>
      <c r="Q5" s="5" t="s">
        <v>68</v>
      </c>
      <c r="R5" s="5" t="s">
        <v>64</v>
      </c>
      <c r="S5" s="5" t="s">
        <v>81</v>
      </c>
    </row>
    <row r="6" customFormat="false" ht="15" hidden="false" customHeight="false" outlineLevel="0" collapsed="false">
      <c r="A6" s="19" t="s">
        <v>82</v>
      </c>
      <c r="B6" s="19" t="s">
        <v>83</v>
      </c>
      <c r="C6" s="19" t="s">
        <v>84</v>
      </c>
      <c r="D6" s="20" t="s">
        <v>27</v>
      </c>
      <c r="E6" s="21" t="n">
        <f aca="false">INDEX(Supuestos!$B$5:$B$8,MATCH(D6,Supuestos!$A$5:$A$8,0))</f>
        <v>2</v>
      </c>
      <c r="F6" s="22"/>
      <c r="G6" s="22"/>
      <c r="H6" s="22"/>
      <c r="I6" s="22" t="n">
        <v>1</v>
      </c>
      <c r="J6" s="22"/>
      <c r="K6" s="22"/>
      <c r="L6" s="22"/>
      <c r="M6" s="22"/>
      <c r="N6" s="22"/>
      <c r="O6" s="22"/>
      <c r="P6" s="22"/>
      <c r="Q6" s="22"/>
      <c r="R6" s="22"/>
      <c r="S6" s="23" t="n">
        <f aca="false">COUNT(F6:R6)</f>
        <v>1</v>
      </c>
    </row>
    <row r="7" customFormat="false" ht="15" hidden="false" customHeight="false" outlineLevel="0" collapsed="false">
      <c r="A7" s="19" t="s">
        <v>85</v>
      </c>
      <c r="B7" s="19" t="s">
        <v>86</v>
      </c>
      <c r="C7" s="19" t="s">
        <v>87</v>
      </c>
      <c r="D7" s="20" t="s">
        <v>27</v>
      </c>
      <c r="E7" s="21" t="n">
        <f aca="false">INDEX(Supuestos!$B$5:$B$8,MATCH(D7,Supuestos!$A$5:$A$8,0))</f>
        <v>2</v>
      </c>
      <c r="F7" s="22"/>
      <c r="G7" s="22"/>
      <c r="H7" s="22"/>
      <c r="I7" s="22"/>
      <c r="J7" s="22"/>
      <c r="K7" s="22" t="n">
        <v>1</v>
      </c>
      <c r="L7" s="22"/>
      <c r="M7" s="22"/>
      <c r="N7" s="22"/>
      <c r="O7" s="22"/>
      <c r="P7" s="22"/>
      <c r="Q7" s="22" t="n">
        <v>1</v>
      </c>
      <c r="R7" s="22"/>
      <c r="S7" s="23" t="n">
        <f aca="false">COUNT(F7:R7)</f>
        <v>2</v>
      </c>
    </row>
    <row r="8" customFormat="false" ht="15" hidden="false" customHeight="false" outlineLevel="0" collapsed="false">
      <c r="A8" s="19" t="s">
        <v>88</v>
      </c>
      <c r="B8" s="19" t="s">
        <v>89</v>
      </c>
      <c r="C8" s="19" t="s">
        <v>90</v>
      </c>
      <c r="D8" s="20" t="s">
        <v>27</v>
      </c>
      <c r="E8" s="21" t="n">
        <f aca="false">INDEX(Supuestos!$B$5:$B$8,MATCH(D8,Supuestos!$A$5:$A$8,0))</f>
        <v>2</v>
      </c>
      <c r="F8" s="22"/>
      <c r="G8" s="22"/>
      <c r="H8" s="22"/>
      <c r="I8" s="22"/>
      <c r="J8" s="22"/>
      <c r="K8" s="22"/>
      <c r="L8" s="22"/>
      <c r="M8" s="22"/>
      <c r="N8" s="22" t="n">
        <v>1</v>
      </c>
      <c r="O8" s="22"/>
      <c r="P8" s="22"/>
      <c r="Q8" s="22"/>
      <c r="R8" s="22"/>
      <c r="S8" s="23" t="n">
        <f aca="false">COUNT(F8:R8)</f>
        <v>1</v>
      </c>
    </row>
    <row r="9" customFormat="false" ht="15" hidden="false" customHeight="false" outlineLevel="0" collapsed="false">
      <c r="A9" s="19" t="s">
        <v>91</v>
      </c>
      <c r="B9" s="19" t="s">
        <v>92</v>
      </c>
      <c r="C9" s="19" t="s">
        <v>93</v>
      </c>
      <c r="D9" s="20" t="s">
        <v>27</v>
      </c>
      <c r="E9" s="21" t="n">
        <f aca="false">INDEX(Supuestos!$B$5:$B$8,MATCH(D9,Supuestos!$A$5:$A$8,0))</f>
        <v>2</v>
      </c>
      <c r="F9" s="22" t="n">
        <v>1</v>
      </c>
      <c r="G9" s="22" t="n">
        <v>1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3" t="n">
        <f aca="false">COUNT(F9:R9)</f>
        <v>2</v>
      </c>
    </row>
    <row r="10" customFormat="false" ht="15" hidden="false" customHeight="false" outlineLevel="0" collapsed="false">
      <c r="A10" s="19" t="s">
        <v>94</v>
      </c>
      <c r="B10" s="19" t="s">
        <v>95</v>
      </c>
      <c r="C10" s="19" t="s">
        <v>96</v>
      </c>
      <c r="D10" s="20" t="s">
        <v>27</v>
      </c>
      <c r="E10" s="21" t="n">
        <f aca="false">INDEX(Supuestos!$B$5:$B$8,MATCH(D10,Supuestos!$A$5:$A$8,0))</f>
        <v>2</v>
      </c>
      <c r="F10" s="22"/>
      <c r="G10" s="22"/>
      <c r="H10" s="22"/>
      <c r="I10" s="22"/>
      <c r="J10" s="22" t="n">
        <v>1</v>
      </c>
      <c r="K10" s="22"/>
      <c r="L10" s="22"/>
      <c r="M10" s="22"/>
      <c r="N10" s="22"/>
      <c r="O10" s="22"/>
      <c r="P10" s="22"/>
      <c r="Q10" s="22"/>
      <c r="R10" s="22"/>
      <c r="S10" s="23" t="n">
        <f aca="false">COUNT(F10:R10)</f>
        <v>1</v>
      </c>
    </row>
    <row r="11" customFormat="false" ht="15" hidden="false" customHeight="false" outlineLevel="0" collapsed="false">
      <c r="A11" s="19" t="s">
        <v>97</v>
      </c>
      <c r="B11" s="19" t="s">
        <v>98</v>
      </c>
      <c r="C11" s="19" t="s">
        <v>99</v>
      </c>
      <c r="D11" s="20" t="s">
        <v>27</v>
      </c>
      <c r="E11" s="21" t="n">
        <f aca="false">INDEX(Supuestos!$B$5:$B$8,MATCH(D11,Supuestos!$A$5:$A$8,0))</f>
        <v>2</v>
      </c>
      <c r="F11" s="22"/>
      <c r="G11" s="22"/>
      <c r="H11" s="22"/>
      <c r="I11" s="22"/>
      <c r="J11" s="22" t="n">
        <v>1</v>
      </c>
      <c r="K11" s="22"/>
      <c r="L11" s="22"/>
      <c r="M11" s="22" t="n">
        <v>1</v>
      </c>
      <c r="N11" s="22"/>
      <c r="O11" s="22" t="n">
        <v>1</v>
      </c>
      <c r="P11" s="22"/>
      <c r="Q11" s="22"/>
      <c r="R11" s="22" t="n">
        <v>1</v>
      </c>
      <c r="S11" s="23" t="n">
        <f aca="false">COUNT(F11:R11)</f>
        <v>4</v>
      </c>
    </row>
    <row r="12" customFormat="false" ht="15" hidden="false" customHeight="false" outlineLevel="0" collapsed="false">
      <c r="A12" s="19" t="s">
        <v>100</v>
      </c>
      <c r="B12" s="19" t="s">
        <v>101</v>
      </c>
      <c r="C12" s="19" t="s">
        <v>102</v>
      </c>
      <c r="D12" s="20" t="s">
        <v>27</v>
      </c>
      <c r="E12" s="21" t="n">
        <f aca="false">INDEX(Supuestos!$B$5:$B$8,MATCH(D12,Supuestos!$A$5:$A$8,0))</f>
        <v>2</v>
      </c>
      <c r="F12" s="22"/>
      <c r="G12" s="22"/>
      <c r="H12" s="22" t="n">
        <v>1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 t="n">
        <f aca="false">COUNT(F12:R12)</f>
        <v>1</v>
      </c>
    </row>
    <row r="13" customFormat="false" ht="15" hidden="false" customHeight="false" outlineLevel="0" collapsed="false">
      <c r="A13" s="19" t="s">
        <v>103</v>
      </c>
      <c r="B13" s="19" t="s">
        <v>104</v>
      </c>
      <c r="C13" s="19" t="s">
        <v>105</v>
      </c>
      <c r="D13" s="24" t="s">
        <v>25</v>
      </c>
      <c r="E13" s="21" t="n">
        <f aca="false">INDEX(Supuestos!$B$5:$B$8,MATCH(D13,Supuestos!$A$5:$A$8,0))</f>
        <v>2</v>
      </c>
      <c r="F13" s="22"/>
      <c r="G13" s="22"/>
      <c r="H13" s="22"/>
      <c r="I13" s="22" t="n">
        <v>1</v>
      </c>
      <c r="J13" s="22"/>
      <c r="K13" s="22"/>
      <c r="L13" s="22"/>
      <c r="M13" s="22"/>
      <c r="N13" s="22"/>
      <c r="O13" s="22"/>
      <c r="P13" s="22"/>
      <c r="Q13" s="22"/>
      <c r="R13" s="22"/>
      <c r="S13" s="23" t="n">
        <f aca="false">COUNT(F13:R13)</f>
        <v>1</v>
      </c>
    </row>
    <row r="14" customFormat="false" ht="15" hidden="false" customHeight="false" outlineLevel="0" collapsed="false">
      <c r="A14" s="19" t="s">
        <v>106</v>
      </c>
      <c r="B14" s="19" t="s">
        <v>107</v>
      </c>
      <c r="C14" s="19" t="s">
        <v>108</v>
      </c>
      <c r="D14" s="24" t="s">
        <v>25</v>
      </c>
      <c r="E14" s="21" t="n">
        <f aca="false">INDEX(Supuestos!$B$5:$B$8,MATCH(D14,Supuestos!$A$5:$A$8,0))</f>
        <v>2</v>
      </c>
      <c r="F14" s="22" t="n">
        <v>1</v>
      </c>
      <c r="G14" s="22" t="n">
        <v>1</v>
      </c>
      <c r="H14" s="22"/>
      <c r="I14" s="22"/>
      <c r="J14" s="22"/>
      <c r="K14" s="22"/>
      <c r="L14" s="22" t="n">
        <v>1</v>
      </c>
      <c r="M14" s="22"/>
      <c r="N14" s="22" t="n">
        <v>1</v>
      </c>
      <c r="O14" s="22"/>
      <c r="P14" s="22"/>
      <c r="Q14" s="22"/>
      <c r="R14" s="22"/>
      <c r="S14" s="23" t="n">
        <f aca="false">COUNT(F14:R14)</f>
        <v>4</v>
      </c>
    </row>
    <row r="15" customFormat="false" ht="15" hidden="false" customHeight="false" outlineLevel="0" collapsed="false">
      <c r="A15" s="19" t="s">
        <v>109</v>
      </c>
      <c r="B15" s="19" t="s">
        <v>110</v>
      </c>
      <c r="C15" s="19" t="s">
        <v>111</v>
      </c>
      <c r="D15" s="24" t="s">
        <v>25</v>
      </c>
      <c r="E15" s="21" t="n">
        <f aca="false">INDEX(Supuestos!$B$5:$B$8,MATCH(D15,Supuestos!$A$5:$A$8,0))</f>
        <v>2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 t="n">
        <v>1</v>
      </c>
      <c r="Q15" s="22"/>
      <c r="R15" s="22"/>
      <c r="S15" s="23" t="n">
        <f aca="false">COUNT(F15:R15)</f>
        <v>1</v>
      </c>
    </row>
    <row r="16" customFormat="false" ht="15" hidden="false" customHeight="false" outlineLevel="0" collapsed="false">
      <c r="A16" s="19" t="s">
        <v>112</v>
      </c>
      <c r="B16" s="19" t="s">
        <v>113</v>
      </c>
      <c r="C16" s="19" t="s">
        <v>114</v>
      </c>
      <c r="D16" s="24" t="s">
        <v>25</v>
      </c>
      <c r="E16" s="21" t="n">
        <f aca="false">INDEX(Supuestos!$B$5:$B$8,MATCH(D16,Supuestos!$A$5:$A$8,0))</f>
        <v>2</v>
      </c>
      <c r="F16" s="22" t="n">
        <v>1</v>
      </c>
      <c r="G16" s="22" t="n">
        <v>1</v>
      </c>
      <c r="H16" s="22"/>
      <c r="I16" s="22"/>
      <c r="J16" s="22"/>
      <c r="K16" s="22"/>
      <c r="L16" s="22" t="n">
        <v>1</v>
      </c>
      <c r="M16" s="22"/>
      <c r="N16" s="22"/>
      <c r="O16" s="22"/>
      <c r="P16" s="22"/>
      <c r="Q16" s="22"/>
      <c r="R16" s="22"/>
      <c r="S16" s="23" t="n">
        <f aca="false">COUNT(F16:R16)</f>
        <v>3</v>
      </c>
    </row>
    <row r="17" customFormat="false" ht="15" hidden="false" customHeight="false" outlineLevel="0" collapsed="false">
      <c r="A17" s="19" t="s">
        <v>115</v>
      </c>
      <c r="B17" s="19" t="s">
        <v>116</v>
      </c>
      <c r="C17" s="19" t="s">
        <v>117</v>
      </c>
      <c r="D17" s="24" t="s">
        <v>25</v>
      </c>
      <c r="E17" s="21" t="n">
        <f aca="false">INDEX(Supuestos!$B$5:$B$8,MATCH(D17,Supuestos!$A$5:$A$8,0))</f>
        <v>2</v>
      </c>
      <c r="F17" s="22"/>
      <c r="G17" s="22"/>
      <c r="H17" s="22"/>
      <c r="I17" s="22"/>
      <c r="J17" s="22"/>
      <c r="K17" s="22" t="n">
        <v>1</v>
      </c>
      <c r="L17" s="22"/>
      <c r="M17" s="22"/>
      <c r="N17" s="22"/>
      <c r="O17" s="22"/>
      <c r="P17" s="22"/>
      <c r="Q17" s="22" t="n">
        <v>1</v>
      </c>
      <c r="R17" s="22"/>
      <c r="S17" s="23" t="n">
        <f aca="false">COUNT(F17:R17)</f>
        <v>2</v>
      </c>
    </row>
    <row r="18" customFormat="false" ht="15" hidden="false" customHeight="false" outlineLevel="0" collapsed="false">
      <c r="A18" s="19" t="s">
        <v>118</v>
      </c>
      <c r="B18" s="19" t="s">
        <v>119</v>
      </c>
      <c r="C18" s="19" t="s">
        <v>120</v>
      </c>
      <c r="D18" s="24" t="s">
        <v>25</v>
      </c>
      <c r="E18" s="21" t="n">
        <f aca="false">INDEX(Supuestos!$B$5:$B$8,MATCH(D18,Supuestos!$A$5:$A$8,0))</f>
        <v>2</v>
      </c>
      <c r="F18" s="22"/>
      <c r="G18" s="22"/>
      <c r="H18" s="22"/>
      <c r="I18" s="22" t="n">
        <v>1</v>
      </c>
      <c r="J18" s="22"/>
      <c r="K18" s="22"/>
      <c r="L18" s="22"/>
      <c r="M18" s="22"/>
      <c r="N18" s="22"/>
      <c r="O18" s="22"/>
      <c r="P18" s="22" t="n">
        <v>1</v>
      </c>
      <c r="Q18" s="22"/>
      <c r="R18" s="22"/>
      <c r="S18" s="23" t="n">
        <f aca="false">COUNT(F18:R18)</f>
        <v>2</v>
      </c>
    </row>
    <row r="19" customFormat="false" ht="15" hidden="false" customHeight="false" outlineLevel="0" collapsed="false">
      <c r="A19" s="19" t="s">
        <v>121</v>
      </c>
      <c r="B19" s="19" t="s">
        <v>122</v>
      </c>
      <c r="C19" s="19" t="s">
        <v>123</v>
      </c>
      <c r="D19" s="24" t="s">
        <v>25</v>
      </c>
      <c r="E19" s="21" t="n">
        <f aca="false">INDEX(Supuestos!$B$5:$B$8,MATCH(D19,Supuestos!$A$5:$A$8,0))</f>
        <v>2</v>
      </c>
      <c r="F19" s="22"/>
      <c r="G19" s="22"/>
      <c r="H19" s="22"/>
      <c r="I19" s="22"/>
      <c r="J19" s="22"/>
      <c r="K19" s="22"/>
      <c r="L19" s="22" t="n">
        <v>1</v>
      </c>
      <c r="M19" s="22"/>
      <c r="N19" s="22"/>
      <c r="O19" s="22"/>
      <c r="P19" s="22" t="n">
        <v>1</v>
      </c>
      <c r="Q19" s="22"/>
      <c r="R19" s="22"/>
      <c r="S19" s="23" t="n">
        <f aca="false">COUNT(F19:R19)</f>
        <v>2</v>
      </c>
    </row>
    <row r="20" customFormat="false" ht="15" hidden="false" customHeight="false" outlineLevel="0" collapsed="false">
      <c r="A20" s="19" t="s">
        <v>124</v>
      </c>
      <c r="B20" s="19" t="s">
        <v>125</v>
      </c>
      <c r="C20" s="19" t="s">
        <v>126</v>
      </c>
      <c r="D20" s="24" t="s">
        <v>25</v>
      </c>
      <c r="E20" s="21" t="n">
        <f aca="false">INDEX(Supuestos!$B$5:$B$8,MATCH(D20,Supuestos!$A$5:$A$8,0))</f>
        <v>2</v>
      </c>
      <c r="F20" s="22"/>
      <c r="G20" s="22"/>
      <c r="H20" s="22" t="n">
        <v>1</v>
      </c>
      <c r="I20" s="22"/>
      <c r="J20" s="22"/>
      <c r="K20" s="22"/>
      <c r="L20" s="22"/>
      <c r="M20" s="22" t="n">
        <v>1</v>
      </c>
      <c r="N20" s="22"/>
      <c r="O20" s="22"/>
      <c r="P20" s="22"/>
      <c r="Q20" s="22"/>
      <c r="R20" s="22"/>
      <c r="S20" s="23" t="n">
        <f aca="false">COUNT(F20:R20)</f>
        <v>2</v>
      </c>
    </row>
    <row r="21" customFormat="false" ht="15" hidden="false" customHeight="false" outlineLevel="0" collapsed="false">
      <c r="A21" s="19" t="s">
        <v>127</v>
      </c>
      <c r="B21" s="19" t="s">
        <v>128</v>
      </c>
      <c r="C21" s="19" t="s">
        <v>129</v>
      </c>
      <c r="D21" s="24" t="s">
        <v>25</v>
      </c>
      <c r="E21" s="21" t="n">
        <f aca="false">INDEX(Supuestos!$B$5:$B$8,MATCH(D21,Supuestos!$A$5:$A$8,0))</f>
        <v>2</v>
      </c>
      <c r="F21" s="22" t="n">
        <v>1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3" t="n">
        <f aca="false">COUNT(F21:R21)</f>
        <v>1</v>
      </c>
    </row>
    <row r="22" customFormat="false" ht="15" hidden="false" customHeight="false" outlineLevel="0" collapsed="false">
      <c r="A22" s="19" t="s">
        <v>130</v>
      </c>
      <c r="B22" s="19" t="s">
        <v>131</v>
      </c>
      <c r="C22" s="19" t="s">
        <v>132</v>
      </c>
      <c r="D22" s="24" t="s">
        <v>25</v>
      </c>
      <c r="E22" s="21" t="n">
        <f aca="false">INDEX(Supuestos!$B$5:$B$8,MATCH(D22,Supuestos!$A$5:$A$8,0))</f>
        <v>2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 t="n">
        <v>1</v>
      </c>
      <c r="R22" s="22"/>
      <c r="S22" s="23" t="n">
        <f aca="false">COUNT(F22:R22)</f>
        <v>1</v>
      </c>
    </row>
    <row r="23" customFormat="false" ht="15" hidden="false" customHeight="false" outlineLevel="0" collapsed="false">
      <c r="A23" s="19" t="s">
        <v>133</v>
      </c>
      <c r="B23" s="19" t="s">
        <v>134</v>
      </c>
      <c r="C23" s="19" t="s">
        <v>135</v>
      </c>
      <c r="D23" s="24" t="s">
        <v>25</v>
      </c>
      <c r="E23" s="21" t="n">
        <f aca="false">INDEX(Supuestos!$B$5:$B$8,MATCH(D23,Supuestos!$A$5:$A$8,0))</f>
        <v>2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 t="n">
        <v>1</v>
      </c>
      <c r="Q23" s="22"/>
      <c r="R23" s="22"/>
      <c r="S23" s="23" t="n">
        <f aca="false">COUNT(F23:R23)</f>
        <v>1</v>
      </c>
    </row>
    <row r="24" customFormat="false" ht="15" hidden="false" customHeight="false" outlineLevel="0" collapsed="false">
      <c r="A24" s="19" t="s">
        <v>136</v>
      </c>
      <c r="B24" s="19" t="s">
        <v>137</v>
      </c>
      <c r="C24" s="19" t="s">
        <v>138</v>
      </c>
      <c r="D24" s="24" t="s">
        <v>25</v>
      </c>
      <c r="E24" s="21" t="n">
        <f aca="false">INDEX(Supuestos!$B$5:$B$8,MATCH(D24,Supuestos!$A$5:$A$8,0))</f>
        <v>2</v>
      </c>
      <c r="F24" s="22"/>
      <c r="G24" s="22"/>
      <c r="H24" s="22"/>
      <c r="I24" s="22"/>
      <c r="J24" s="22" t="n">
        <v>1</v>
      </c>
      <c r="K24" s="22" t="n">
        <v>1</v>
      </c>
      <c r="L24" s="22"/>
      <c r="M24" s="22"/>
      <c r="N24" s="22"/>
      <c r="O24" s="22"/>
      <c r="P24" s="22"/>
      <c r="Q24" s="22"/>
      <c r="R24" s="22"/>
      <c r="S24" s="23" t="n">
        <f aca="false">COUNT(F24:R24)</f>
        <v>2</v>
      </c>
    </row>
    <row r="25" customFormat="false" ht="15" hidden="false" customHeight="false" outlineLevel="0" collapsed="false">
      <c r="A25" s="19" t="s">
        <v>139</v>
      </c>
      <c r="B25" s="19" t="s">
        <v>140</v>
      </c>
      <c r="C25" s="19" t="s">
        <v>141</v>
      </c>
      <c r="D25" s="24" t="s">
        <v>25</v>
      </c>
      <c r="E25" s="21" t="n">
        <f aca="false">INDEX(Supuestos!$B$5:$B$8,MATCH(D25,Supuestos!$A$5:$A$8,0))</f>
        <v>2</v>
      </c>
      <c r="F25" s="22"/>
      <c r="G25" s="22"/>
      <c r="H25" s="22"/>
      <c r="I25" s="22"/>
      <c r="J25" s="22"/>
      <c r="K25" s="22"/>
      <c r="L25" s="22"/>
      <c r="M25" s="22"/>
      <c r="N25" s="22"/>
      <c r="O25" s="22" t="n">
        <v>1</v>
      </c>
      <c r="P25" s="22"/>
      <c r="Q25" s="22"/>
      <c r="R25" s="22"/>
      <c r="S25" s="23" t="n">
        <f aca="false">COUNT(F25:R25)</f>
        <v>1</v>
      </c>
    </row>
    <row r="26" customFormat="false" ht="15" hidden="false" customHeight="false" outlineLevel="0" collapsed="false">
      <c r="A26" s="19" t="s">
        <v>142</v>
      </c>
      <c r="B26" s="19" t="s">
        <v>143</v>
      </c>
      <c r="C26" s="19" t="s">
        <v>144</v>
      </c>
      <c r="D26" s="24" t="s">
        <v>25</v>
      </c>
      <c r="E26" s="21" t="n">
        <f aca="false">INDEX(Supuestos!$B$5:$B$8,MATCH(D26,Supuestos!$A$5:$A$8,0))</f>
        <v>2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 t="n">
        <v>1</v>
      </c>
      <c r="S26" s="23" t="n">
        <f aca="false">COUNT(F26:R26)</f>
        <v>1</v>
      </c>
    </row>
    <row r="27" customFormat="false" ht="15" hidden="false" customHeight="false" outlineLevel="0" collapsed="false">
      <c r="A27" s="19" t="s">
        <v>145</v>
      </c>
      <c r="B27" s="19" t="s">
        <v>146</v>
      </c>
      <c r="C27" s="19" t="s">
        <v>147</v>
      </c>
      <c r="D27" s="24" t="s">
        <v>25</v>
      </c>
      <c r="E27" s="21" t="n">
        <f aca="false">INDEX(Supuestos!$B$5:$B$8,MATCH(D27,Supuestos!$A$5:$A$8,0))</f>
        <v>2</v>
      </c>
      <c r="F27" s="22"/>
      <c r="G27" s="22"/>
      <c r="H27" s="22"/>
      <c r="I27" s="22"/>
      <c r="J27" s="22"/>
      <c r="K27" s="22" t="n">
        <v>1</v>
      </c>
      <c r="L27" s="22"/>
      <c r="M27" s="22"/>
      <c r="N27" s="22"/>
      <c r="O27" s="22"/>
      <c r="P27" s="22"/>
      <c r="Q27" s="22"/>
      <c r="R27" s="22"/>
      <c r="S27" s="23" t="n">
        <f aca="false">COUNT(F27:R27)</f>
        <v>1</v>
      </c>
    </row>
    <row r="28" customFormat="false" ht="15" hidden="false" customHeight="false" outlineLevel="0" collapsed="false">
      <c r="A28" s="19" t="s">
        <v>148</v>
      </c>
      <c r="B28" s="19" t="s">
        <v>149</v>
      </c>
      <c r="C28" s="19" t="s">
        <v>150</v>
      </c>
      <c r="D28" s="24" t="s">
        <v>25</v>
      </c>
      <c r="E28" s="21" t="n">
        <f aca="false">INDEX(Supuestos!$B$5:$B$8,MATCH(D28,Supuestos!$A$5:$A$8,0))</f>
        <v>2</v>
      </c>
      <c r="F28" s="22"/>
      <c r="G28" s="22"/>
      <c r="H28" s="22" t="n">
        <v>1</v>
      </c>
      <c r="I28" s="22"/>
      <c r="J28" s="22"/>
      <c r="K28" s="22"/>
      <c r="L28" s="22"/>
      <c r="M28" s="22" t="n">
        <v>1</v>
      </c>
      <c r="N28" s="22"/>
      <c r="O28" s="22"/>
      <c r="P28" s="22"/>
      <c r="Q28" s="22"/>
      <c r="R28" s="22"/>
      <c r="S28" s="23" t="n">
        <f aca="false">COUNT(F28:R28)</f>
        <v>2</v>
      </c>
    </row>
    <row r="29" customFormat="false" ht="15" hidden="false" customHeight="false" outlineLevel="0" collapsed="false">
      <c r="A29" s="19" t="s">
        <v>151</v>
      </c>
      <c r="B29" s="19" t="s">
        <v>152</v>
      </c>
      <c r="C29" s="19" t="s">
        <v>153</v>
      </c>
      <c r="D29" s="24" t="s">
        <v>25</v>
      </c>
      <c r="E29" s="21" t="n">
        <f aca="false">INDEX(Supuestos!$B$5:$B$8,MATCH(D29,Supuestos!$A$5:$A$8,0))</f>
        <v>2</v>
      </c>
      <c r="F29" s="22"/>
      <c r="G29" s="22"/>
      <c r="H29" s="22"/>
      <c r="I29" s="22" t="n">
        <v>1</v>
      </c>
      <c r="J29" s="22"/>
      <c r="K29" s="22"/>
      <c r="L29" s="22"/>
      <c r="M29" s="22" t="n">
        <v>1</v>
      </c>
      <c r="N29" s="22"/>
      <c r="O29" s="22"/>
      <c r="P29" s="22" t="n">
        <v>1</v>
      </c>
      <c r="Q29" s="22"/>
      <c r="R29" s="22" t="n">
        <v>1</v>
      </c>
      <c r="S29" s="23" t="n">
        <f aca="false">COUNT(F29:R29)</f>
        <v>4</v>
      </c>
    </row>
    <row r="30" customFormat="false" ht="15" hidden="false" customHeight="false" outlineLevel="0" collapsed="false">
      <c r="A30" s="19" t="s">
        <v>154</v>
      </c>
      <c r="B30" s="19" t="s">
        <v>155</v>
      </c>
      <c r="C30" s="19" t="s">
        <v>156</v>
      </c>
      <c r="D30" s="24" t="s">
        <v>25</v>
      </c>
      <c r="E30" s="21" t="n">
        <f aca="false">INDEX(Supuestos!$B$5:$B$8,MATCH(D30,Supuestos!$A$5:$A$8,0))</f>
        <v>2</v>
      </c>
      <c r="F30" s="22"/>
      <c r="G30" s="22"/>
      <c r="H30" s="22"/>
      <c r="I30" s="22"/>
      <c r="J30" s="22"/>
      <c r="K30" s="22"/>
      <c r="L30" s="22"/>
      <c r="M30" s="22"/>
      <c r="N30" s="22" t="n">
        <v>1</v>
      </c>
      <c r="O30" s="22"/>
      <c r="P30" s="22"/>
      <c r="Q30" s="22"/>
      <c r="R30" s="22"/>
      <c r="S30" s="23" t="n">
        <f aca="false">COUNT(F30:R30)</f>
        <v>1</v>
      </c>
    </row>
    <row r="31" customFormat="false" ht="15" hidden="false" customHeight="false" outlineLevel="0" collapsed="false">
      <c r="A31" s="19" t="s">
        <v>157</v>
      </c>
      <c r="B31" s="19" t="s">
        <v>158</v>
      </c>
      <c r="C31" s="19" t="s">
        <v>159</v>
      </c>
      <c r="D31" s="24" t="s">
        <v>25</v>
      </c>
      <c r="E31" s="21" t="n">
        <f aca="false">INDEX(Supuestos!$B$5:$B$8,MATCH(D31,Supuestos!$A$5:$A$8,0))</f>
        <v>2</v>
      </c>
      <c r="F31" s="22"/>
      <c r="G31" s="22" t="n">
        <v>1</v>
      </c>
      <c r="H31" s="22" t="n">
        <v>1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3" t="n">
        <f aca="false">COUNT(F31:R31)</f>
        <v>2</v>
      </c>
    </row>
    <row r="32" customFormat="false" ht="15" hidden="false" customHeight="false" outlineLevel="0" collapsed="false">
      <c r="A32" s="19" t="s">
        <v>160</v>
      </c>
      <c r="B32" s="19" t="s">
        <v>161</v>
      </c>
      <c r="C32" s="19" t="s">
        <v>162</v>
      </c>
      <c r="D32" s="24" t="s">
        <v>25</v>
      </c>
      <c r="E32" s="21" t="n">
        <f aca="false">INDEX(Supuestos!$B$5:$B$8,MATCH(D32,Supuestos!$A$5:$A$8,0))</f>
        <v>2</v>
      </c>
      <c r="F32" s="22"/>
      <c r="G32" s="22"/>
      <c r="H32" s="22"/>
      <c r="I32" s="22"/>
      <c r="J32" s="22"/>
      <c r="K32" s="22"/>
      <c r="L32" s="22" t="n">
        <v>1</v>
      </c>
      <c r="M32" s="22"/>
      <c r="N32" s="22"/>
      <c r="O32" s="22"/>
      <c r="P32" s="22"/>
      <c r="Q32" s="22"/>
      <c r="R32" s="22"/>
      <c r="S32" s="23" t="n">
        <f aca="false">COUNT(F32:R32)</f>
        <v>1</v>
      </c>
    </row>
    <row r="33" customFormat="false" ht="15" hidden="false" customHeight="false" outlineLevel="0" collapsed="false">
      <c r="A33" s="19" t="s">
        <v>163</v>
      </c>
      <c r="B33" s="19" t="s">
        <v>164</v>
      </c>
      <c r="C33" s="19" t="s">
        <v>165</v>
      </c>
      <c r="D33" s="24" t="s">
        <v>25</v>
      </c>
      <c r="E33" s="21" t="n">
        <f aca="false">INDEX(Supuestos!$B$5:$B$8,MATCH(D33,Supuestos!$A$5:$A$8,0))</f>
        <v>2</v>
      </c>
      <c r="F33" s="22"/>
      <c r="G33" s="22" t="n">
        <v>1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3" t="n">
        <f aca="false">COUNT(F33:R33)</f>
        <v>1</v>
      </c>
    </row>
    <row r="34" customFormat="false" ht="15" hidden="false" customHeight="false" outlineLevel="0" collapsed="false">
      <c r="A34" s="19" t="s">
        <v>166</v>
      </c>
      <c r="B34" s="19" t="s">
        <v>167</v>
      </c>
      <c r="C34" s="19" t="s">
        <v>168</v>
      </c>
      <c r="D34" s="25" t="s">
        <v>29</v>
      </c>
      <c r="E34" s="21" t="n">
        <f aca="false">INDEX(Supuestos!$B$5:$B$8,MATCH(D34,Supuestos!$A$5:$A$8,0))</f>
        <v>1</v>
      </c>
      <c r="F34" s="22"/>
      <c r="G34" s="22"/>
      <c r="H34" s="22"/>
      <c r="I34" s="22"/>
      <c r="J34" s="22"/>
      <c r="K34" s="22"/>
      <c r="L34" s="22"/>
      <c r="M34" s="22"/>
      <c r="N34" s="22"/>
      <c r="O34" s="22" t="n">
        <v>1</v>
      </c>
      <c r="P34" s="22"/>
      <c r="Q34" s="22"/>
      <c r="R34" s="22" t="n">
        <v>1</v>
      </c>
      <c r="S34" s="23" t="n">
        <f aca="false">COUNT(F34:R34)</f>
        <v>2</v>
      </c>
    </row>
    <row r="35" customFormat="false" ht="15" hidden="false" customHeight="false" outlineLevel="0" collapsed="false">
      <c r="A35" s="19" t="s">
        <v>169</v>
      </c>
      <c r="B35" s="19" t="s">
        <v>170</v>
      </c>
      <c r="C35" s="19" t="s">
        <v>171</v>
      </c>
      <c r="D35" s="25" t="s">
        <v>29</v>
      </c>
      <c r="E35" s="21" t="n">
        <f aca="false">INDEX(Supuestos!$B$5:$B$8,MATCH(D35,Supuestos!$A$5:$A$8,0))</f>
        <v>1</v>
      </c>
      <c r="F35" s="22" t="n">
        <v>1</v>
      </c>
      <c r="G35" s="22"/>
      <c r="H35" s="22"/>
      <c r="I35" s="22"/>
      <c r="J35" s="22" t="n">
        <v>1</v>
      </c>
      <c r="K35" s="22"/>
      <c r="L35" s="22"/>
      <c r="M35" s="22"/>
      <c r="N35" s="22" t="n">
        <v>1</v>
      </c>
      <c r="O35" s="22"/>
      <c r="P35" s="22"/>
      <c r="Q35" s="22" t="n">
        <v>1</v>
      </c>
      <c r="R35" s="22" t="n">
        <v>1</v>
      </c>
      <c r="S35" s="23" t="n">
        <f aca="false">COUNT(F35:R35)</f>
        <v>5</v>
      </c>
    </row>
    <row r="36" customFormat="false" ht="15" hidden="false" customHeight="false" outlineLevel="0" collapsed="false">
      <c r="A36" s="19" t="s">
        <v>172</v>
      </c>
      <c r="B36" s="19" t="s">
        <v>173</v>
      </c>
      <c r="C36" s="19" t="s">
        <v>174</v>
      </c>
      <c r="D36" s="25" t="s">
        <v>29</v>
      </c>
      <c r="E36" s="21" t="n">
        <f aca="false">INDEX(Supuestos!$B$5:$B$8,MATCH(D36,Supuestos!$A$5:$A$8,0))</f>
        <v>1</v>
      </c>
      <c r="F36" s="22"/>
      <c r="G36" s="22"/>
      <c r="H36" s="22" t="n">
        <v>1</v>
      </c>
      <c r="I36" s="22" t="n">
        <v>1</v>
      </c>
      <c r="J36" s="22"/>
      <c r="K36" s="22"/>
      <c r="L36" s="22"/>
      <c r="M36" s="22" t="n">
        <v>1</v>
      </c>
      <c r="N36" s="22"/>
      <c r="O36" s="22" t="n">
        <v>1</v>
      </c>
      <c r="P36" s="22"/>
      <c r="Q36" s="22"/>
      <c r="R36" s="22"/>
      <c r="S36" s="23" t="n">
        <f aca="false">COUNT(F36:R36)</f>
        <v>4</v>
      </c>
    </row>
    <row r="37" customFormat="false" ht="15" hidden="false" customHeight="false" outlineLevel="0" collapsed="false">
      <c r="A37" s="19" t="s">
        <v>175</v>
      </c>
      <c r="B37" s="19" t="s">
        <v>176</v>
      </c>
      <c r="C37" s="19" t="s">
        <v>177</v>
      </c>
      <c r="D37" s="25" t="s">
        <v>29</v>
      </c>
      <c r="E37" s="21" t="n">
        <f aca="false">INDEX(Supuestos!$B$5:$B$8,MATCH(D37,Supuestos!$A$5:$A$8,0))</f>
        <v>1</v>
      </c>
      <c r="F37" s="22" t="n">
        <v>1</v>
      </c>
      <c r="G37" s="22" t="n">
        <v>1</v>
      </c>
      <c r="H37" s="22"/>
      <c r="I37" s="22"/>
      <c r="J37" s="22"/>
      <c r="K37" s="22"/>
      <c r="L37" s="22" t="n">
        <v>1</v>
      </c>
      <c r="M37" s="22"/>
      <c r="N37" s="22"/>
      <c r="O37" s="22"/>
      <c r="P37" s="22" t="n">
        <v>1</v>
      </c>
      <c r="Q37" s="22" t="n">
        <v>1</v>
      </c>
      <c r="R37" s="22"/>
      <c r="S37" s="23" t="n">
        <f aca="false">COUNT(F37:R37)</f>
        <v>5</v>
      </c>
    </row>
    <row r="38" customFormat="false" ht="15" hidden="false" customHeight="false" outlineLevel="0" collapsed="false">
      <c r="A38" s="19" t="s">
        <v>178</v>
      </c>
      <c r="B38" s="19" t="s">
        <v>179</v>
      </c>
      <c r="C38" s="19" t="s">
        <v>180</v>
      </c>
      <c r="D38" s="25" t="s">
        <v>29</v>
      </c>
      <c r="E38" s="21" t="n">
        <f aca="false">INDEX(Supuestos!$B$5:$B$8,MATCH(D38,Supuestos!$A$5:$A$8,0))</f>
        <v>1</v>
      </c>
      <c r="F38" s="22"/>
      <c r="G38" s="22"/>
      <c r="H38" s="22"/>
      <c r="I38" s="22" t="n">
        <v>1</v>
      </c>
      <c r="J38" s="22" t="n">
        <v>1</v>
      </c>
      <c r="K38" s="22"/>
      <c r="L38" s="22"/>
      <c r="M38" s="22"/>
      <c r="N38" s="22" t="n">
        <v>1</v>
      </c>
      <c r="O38" s="22"/>
      <c r="P38" s="22"/>
      <c r="Q38" s="22" t="n">
        <v>1</v>
      </c>
      <c r="R38" s="22" t="n">
        <v>1</v>
      </c>
      <c r="S38" s="23" t="n">
        <f aca="false">COUNT(F38:R38)</f>
        <v>5</v>
      </c>
    </row>
    <row r="39" customFormat="false" ht="15" hidden="false" customHeight="false" outlineLevel="0" collapsed="false">
      <c r="A39" s="19" t="s">
        <v>181</v>
      </c>
      <c r="B39" s="19" t="s">
        <v>182</v>
      </c>
      <c r="C39" s="19" t="s">
        <v>183</v>
      </c>
      <c r="D39" s="25" t="s">
        <v>29</v>
      </c>
      <c r="E39" s="21" t="n">
        <f aca="false">INDEX(Supuestos!$B$5:$B$8,MATCH(D39,Supuestos!$A$5:$A$8,0))</f>
        <v>1</v>
      </c>
      <c r="F39" s="22"/>
      <c r="G39" s="22"/>
      <c r="H39" s="22" t="n">
        <v>1</v>
      </c>
      <c r="I39" s="22"/>
      <c r="J39" s="22" t="n">
        <v>1</v>
      </c>
      <c r="K39" s="22"/>
      <c r="L39" s="22"/>
      <c r="M39" s="22" t="n">
        <v>1</v>
      </c>
      <c r="N39" s="22" t="n">
        <v>1</v>
      </c>
      <c r="O39" s="22" t="n">
        <v>1</v>
      </c>
      <c r="P39" s="22"/>
      <c r="Q39" s="22"/>
      <c r="R39" s="22"/>
      <c r="S39" s="23" t="n">
        <f aca="false">COUNT(F39:R39)</f>
        <v>5</v>
      </c>
    </row>
    <row r="40" customFormat="false" ht="15" hidden="false" customHeight="false" outlineLevel="0" collapsed="false">
      <c r="A40" s="19" t="s">
        <v>184</v>
      </c>
      <c r="B40" s="19" t="s">
        <v>185</v>
      </c>
      <c r="C40" s="19" t="s">
        <v>186</v>
      </c>
      <c r="D40" s="25" t="s">
        <v>29</v>
      </c>
      <c r="E40" s="21" t="n">
        <f aca="false">INDEX(Supuestos!$B$5:$B$8,MATCH(D40,Supuestos!$A$5:$A$8,0))</f>
        <v>1</v>
      </c>
      <c r="F40" s="22"/>
      <c r="G40" s="22"/>
      <c r="H40" s="22"/>
      <c r="I40" s="22"/>
      <c r="J40" s="22"/>
      <c r="K40" s="22" t="n">
        <v>1</v>
      </c>
      <c r="L40" s="22" t="n">
        <v>1</v>
      </c>
      <c r="M40" s="22"/>
      <c r="N40" s="22"/>
      <c r="O40" s="22"/>
      <c r="P40" s="22"/>
      <c r="Q40" s="22"/>
      <c r="R40" s="22"/>
      <c r="S40" s="23" t="n">
        <f aca="false">COUNT(F40:R40)</f>
        <v>2</v>
      </c>
    </row>
    <row r="41" customFormat="false" ht="15" hidden="false" customHeight="false" outlineLevel="0" collapsed="false">
      <c r="A41" s="19" t="s">
        <v>187</v>
      </c>
      <c r="B41" s="19" t="s">
        <v>188</v>
      </c>
      <c r="C41" s="19" t="s">
        <v>189</v>
      </c>
      <c r="D41" s="25" t="s">
        <v>29</v>
      </c>
      <c r="E41" s="21" t="n">
        <f aca="false">INDEX(Supuestos!$B$5:$B$8,MATCH(D41,Supuestos!$A$5:$A$8,0))</f>
        <v>1</v>
      </c>
      <c r="F41" s="22"/>
      <c r="G41" s="22"/>
      <c r="H41" s="22"/>
      <c r="I41" s="22"/>
      <c r="J41" s="22"/>
      <c r="K41" s="22" t="n">
        <v>1</v>
      </c>
      <c r="L41" s="22"/>
      <c r="M41" s="22"/>
      <c r="N41" s="22"/>
      <c r="O41" s="22" t="n">
        <v>1</v>
      </c>
      <c r="P41" s="22"/>
      <c r="Q41" s="22"/>
      <c r="R41" s="22"/>
      <c r="S41" s="23" t="n">
        <f aca="false">COUNT(F41:R41)</f>
        <v>2</v>
      </c>
    </row>
    <row r="42" customFormat="false" ht="15" hidden="false" customHeight="false" outlineLevel="0" collapsed="false">
      <c r="A42" s="19" t="s">
        <v>190</v>
      </c>
      <c r="B42" s="19" t="s">
        <v>191</v>
      </c>
      <c r="C42" s="19" t="s">
        <v>192</v>
      </c>
      <c r="D42" s="26" t="s">
        <v>23</v>
      </c>
      <c r="E42" s="21" t="n">
        <f aca="false">INDEX(Supuestos!$B$5:$B$8,MATCH(D42,Supuestos!$A$5:$A$8,0))</f>
        <v>3</v>
      </c>
      <c r="F42" s="22"/>
      <c r="G42" s="22"/>
      <c r="H42" s="22"/>
      <c r="I42" s="22"/>
      <c r="J42" s="22" t="n">
        <v>1</v>
      </c>
      <c r="K42" s="22"/>
      <c r="L42" s="22"/>
      <c r="M42" s="22"/>
      <c r="N42" s="22"/>
      <c r="O42" s="22"/>
      <c r="P42" s="22"/>
      <c r="Q42" s="22"/>
      <c r="R42" s="22" t="n">
        <v>1</v>
      </c>
      <c r="S42" s="23" t="n">
        <f aca="false">COUNT(F42:R42)</f>
        <v>2</v>
      </c>
    </row>
    <row r="43" customFormat="false" ht="15" hidden="false" customHeight="false" outlineLevel="0" collapsed="false">
      <c r="A43" s="19" t="s">
        <v>193</v>
      </c>
      <c r="B43" s="19" t="s">
        <v>194</v>
      </c>
      <c r="C43" s="19" t="s">
        <v>195</v>
      </c>
      <c r="D43" s="26" t="s">
        <v>23</v>
      </c>
      <c r="E43" s="21" t="n">
        <f aca="false">INDEX(Supuestos!$B$5:$B$8,MATCH(D43,Supuestos!$A$5:$A$8,0))</f>
        <v>3</v>
      </c>
      <c r="F43" s="22" t="n">
        <v>1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3" t="n">
        <f aca="false">COUNT(F43:R43)</f>
        <v>1</v>
      </c>
    </row>
    <row r="44" customFormat="false" ht="15" hidden="false" customHeight="false" outlineLevel="0" collapsed="false">
      <c r="A44" s="19" t="s">
        <v>196</v>
      </c>
      <c r="B44" s="19" t="s">
        <v>197</v>
      </c>
      <c r="C44" s="19" t="s">
        <v>198</v>
      </c>
      <c r="D44" s="26" t="s">
        <v>23</v>
      </c>
      <c r="E44" s="21" t="n">
        <f aca="false">INDEX(Supuestos!$B$5:$B$8,MATCH(D44,Supuestos!$A$5:$A$8,0))</f>
        <v>3</v>
      </c>
      <c r="F44" s="22"/>
      <c r="G44" s="22"/>
      <c r="H44" s="22"/>
      <c r="I44" s="22"/>
      <c r="J44" s="22"/>
      <c r="K44" s="22"/>
      <c r="L44" s="22" t="n">
        <v>1</v>
      </c>
      <c r="M44" s="22"/>
      <c r="N44" s="22"/>
      <c r="O44" s="22"/>
      <c r="P44" s="22"/>
      <c r="Q44" s="22" t="n">
        <v>1</v>
      </c>
      <c r="R44" s="22"/>
      <c r="S44" s="23" t="n">
        <f aca="false">COUNT(F44:R44)</f>
        <v>2</v>
      </c>
    </row>
    <row r="45" customFormat="false" ht="15" hidden="false" customHeight="false" outlineLevel="0" collapsed="false">
      <c r="A45" s="19" t="s">
        <v>199</v>
      </c>
      <c r="B45" s="19" t="s">
        <v>200</v>
      </c>
      <c r="C45" s="19" t="s">
        <v>201</v>
      </c>
      <c r="D45" s="26" t="s">
        <v>23</v>
      </c>
      <c r="E45" s="21" t="n">
        <f aca="false">INDEX(Supuestos!$B$5:$B$8,MATCH(D45,Supuestos!$A$5:$A$8,0))</f>
        <v>3</v>
      </c>
      <c r="F45" s="22"/>
      <c r="G45" s="22"/>
      <c r="H45" s="22"/>
      <c r="I45" s="22" t="n">
        <v>1</v>
      </c>
      <c r="J45" s="22"/>
      <c r="K45" s="22"/>
      <c r="L45" s="22"/>
      <c r="M45" s="22"/>
      <c r="N45" s="22"/>
      <c r="O45" s="22"/>
      <c r="P45" s="22"/>
      <c r="Q45" s="22"/>
      <c r="R45" s="22"/>
      <c r="S45" s="23" t="n">
        <f aca="false">COUNT(F45:R45)</f>
        <v>1</v>
      </c>
    </row>
    <row r="46" customFormat="false" ht="15" hidden="false" customHeight="false" outlineLevel="0" collapsed="false">
      <c r="A46" s="19" t="s">
        <v>202</v>
      </c>
      <c r="B46" s="19" t="s">
        <v>203</v>
      </c>
      <c r="C46" s="19" t="s">
        <v>204</v>
      </c>
      <c r="D46" s="26" t="s">
        <v>23</v>
      </c>
      <c r="E46" s="21" t="n">
        <f aca="false">INDEX(Supuestos!$B$5:$B$8,MATCH(D46,Supuestos!$A$5:$A$8,0))</f>
        <v>3</v>
      </c>
      <c r="F46" s="22"/>
      <c r="G46" s="22"/>
      <c r="H46" s="22"/>
      <c r="I46" s="22"/>
      <c r="J46" s="22"/>
      <c r="K46" s="22"/>
      <c r="L46" s="22"/>
      <c r="M46" s="22"/>
      <c r="N46" s="22"/>
      <c r="O46" s="22" t="n">
        <v>1</v>
      </c>
      <c r="P46" s="22"/>
      <c r="Q46" s="22"/>
      <c r="R46" s="22"/>
      <c r="S46" s="23" t="n">
        <f aca="false">COUNT(F46:R46)</f>
        <v>1</v>
      </c>
    </row>
    <row r="47" customFormat="false" ht="15" hidden="false" customHeight="false" outlineLevel="0" collapsed="false">
      <c r="A47" s="19" t="s">
        <v>205</v>
      </c>
      <c r="B47" s="19" t="s">
        <v>206</v>
      </c>
      <c r="C47" s="19" t="s">
        <v>207</v>
      </c>
      <c r="D47" s="26" t="s">
        <v>23</v>
      </c>
      <c r="E47" s="21" t="n">
        <f aca="false">INDEX(Supuestos!$B$5:$B$8,MATCH(D47,Supuestos!$A$5:$A$8,0))</f>
        <v>3</v>
      </c>
      <c r="F47" s="22"/>
      <c r="G47" s="22"/>
      <c r="H47" s="22"/>
      <c r="I47" s="22"/>
      <c r="J47" s="22"/>
      <c r="K47" s="22" t="n">
        <v>1</v>
      </c>
      <c r="L47" s="22"/>
      <c r="M47" s="22" t="n">
        <v>1</v>
      </c>
      <c r="N47" s="22" t="n">
        <v>1</v>
      </c>
      <c r="O47" s="22"/>
      <c r="P47" s="22"/>
      <c r="Q47" s="22"/>
      <c r="R47" s="22"/>
      <c r="S47" s="23" t="n">
        <f aca="false">COUNT(F47:R47)</f>
        <v>3</v>
      </c>
    </row>
    <row r="48" customFormat="false" ht="15" hidden="false" customHeight="false" outlineLevel="0" collapsed="false">
      <c r="A48" s="19" t="s">
        <v>208</v>
      </c>
      <c r="B48" s="19" t="s">
        <v>209</v>
      </c>
      <c r="C48" s="19" t="s">
        <v>210</v>
      </c>
      <c r="D48" s="26" t="s">
        <v>23</v>
      </c>
      <c r="E48" s="21" t="n">
        <f aca="false">INDEX(Supuestos!$B$5:$B$8,MATCH(D48,Supuestos!$A$5:$A$8,0))</f>
        <v>3</v>
      </c>
      <c r="F48" s="22"/>
      <c r="G48" s="22" t="n">
        <v>1</v>
      </c>
      <c r="H48" s="22"/>
      <c r="I48" s="22"/>
      <c r="J48" s="22"/>
      <c r="K48" s="22"/>
      <c r="L48" s="22"/>
      <c r="M48" s="22"/>
      <c r="N48" s="22"/>
      <c r="O48" s="22"/>
      <c r="P48" s="22" t="n">
        <v>1</v>
      </c>
      <c r="Q48" s="22"/>
      <c r="R48" s="22"/>
      <c r="S48" s="23" t="n">
        <f aca="false">COUNT(F48:R48)</f>
        <v>2</v>
      </c>
    </row>
    <row r="49" customFormat="false" ht="15" hidden="false" customHeight="false" outlineLevel="0" collapsed="false">
      <c r="A49" s="19" t="s">
        <v>211</v>
      </c>
      <c r="B49" s="19" t="s">
        <v>212</v>
      </c>
      <c r="C49" s="19" t="s">
        <v>213</v>
      </c>
      <c r="D49" s="26" t="s">
        <v>23</v>
      </c>
      <c r="E49" s="21" t="n">
        <f aca="false">INDEX(Supuestos!$B$5:$B$8,MATCH(D49,Supuestos!$A$5:$A$8,0))</f>
        <v>3</v>
      </c>
      <c r="F49" s="22"/>
      <c r="G49" s="22"/>
      <c r="H49" s="22" t="n">
        <v>1</v>
      </c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3" t="n">
        <f aca="false">COUNT(F49:R49)</f>
        <v>1</v>
      </c>
    </row>
    <row r="50" customFormat="false" ht="15" hidden="false" customHeight="false" outlineLevel="0" collapsed="false">
      <c r="B50" s="27" t="s">
        <v>214</v>
      </c>
      <c r="F50" s="28" t="n">
        <f aca="false">COUNT(F6:F49)</f>
        <v>7</v>
      </c>
      <c r="G50" s="28" t="n">
        <f aca="false">COUNT(G6:G49)</f>
        <v>7</v>
      </c>
      <c r="H50" s="28" t="n">
        <f aca="false">COUNT(H6:H49)</f>
        <v>7</v>
      </c>
      <c r="I50" s="28" t="n">
        <f aca="false">COUNT(I6:I49)</f>
        <v>7</v>
      </c>
      <c r="J50" s="28" t="n">
        <f aca="false">COUNT(J6:J49)</f>
        <v>7</v>
      </c>
      <c r="K50" s="28" t="n">
        <f aca="false">COUNT(K6:K49)</f>
        <v>7</v>
      </c>
      <c r="L50" s="28" t="n">
        <f aca="false">COUNT(L6:L49)</f>
        <v>7</v>
      </c>
      <c r="M50" s="28" t="n">
        <f aca="false">COUNT(M6:M49)</f>
        <v>7</v>
      </c>
      <c r="N50" s="28" t="n">
        <f aca="false">COUNT(N6:N49)</f>
        <v>7</v>
      </c>
      <c r="O50" s="28" t="n">
        <f aca="false">COUNT(O6:O49)</f>
        <v>7</v>
      </c>
      <c r="P50" s="28" t="n">
        <f aca="false">COUNT(P6:P49)</f>
        <v>7</v>
      </c>
      <c r="Q50" s="28" t="n">
        <f aca="false">COUNT(Q6:Q49)</f>
        <v>7</v>
      </c>
      <c r="R50" s="28" t="n">
        <f aca="false">COUNT(R6:R49)</f>
        <v>7</v>
      </c>
    </row>
    <row r="51" customFormat="false" ht="15" hidden="false" customHeight="false" outlineLevel="0" collapsed="false">
      <c r="B51" s="27" t="s">
        <v>215</v>
      </c>
      <c r="F51" s="28" t="n">
        <f aca="false">SUMPRODUCT($E$6:$E$49,F6:F49)</f>
        <v>13</v>
      </c>
      <c r="G51" s="28" t="n">
        <f aca="false">SUMPRODUCT($E$6:$E$49,G6:G49)</f>
        <v>14</v>
      </c>
      <c r="H51" s="28" t="n">
        <f aca="false">SUMPRODUCT($E$6:$E$49,H6:H49)</f>
        <v>13</v>
      </c>
      <c r="I51" s="28" t="n">
        <f aca="false">SUMPRODUCT($E$6:$E$49,I6:I49)</f>
        <v>13</v>
      </c>
      <c r="J51" s="28" t="n">
        <f aca="false">SUMPRODUCT($E$6:$E$49,J6:J49)</f>
        <v>12</v>
      </c>
      <c r="K51" s="28" t="n">
        <f aca="false">SUMPRODUCT($E$6:$E$49,K6:K49)</f>
        <v>13</v>
      </c>
      <c r="L51" s="28" t="n">
        <f aca="false">SUMPRODUCT($E$6:$E$49,L6:L49)</f>
        <v>13</v>
      </c>
      <c r="M51" s="28" t="n">
        <f aca="false">SUMPRODUCT($E$6:$E$49,M6:M49)</f>
        <v>13</v>
      </c>
      <c r="N51" s="28" t="n">
        <f aca="false">SUMPRODUCT($E$6:$E$49,N6:N49)</f>
        <v>12</v>
      </c>
      <c r="O51" s="28" t="n">
        <f aca="false">SUMPRODUCT($E$6:$E$49,O6:O49)</f>
        <v>11</v>
      </c>
      <c r="P51" s="28" t="n">
        <f aca="false">SUMPRODUCT($E$6:$E$49,P6:P49)</f>
        <v>14</v>
      </c>
      <c r="Q51" s="28" t="n">
        <f aca="false">SUMPRODUCT($E$6:$E$49,Q6:Q49)</f>
        <v>12</v>
      </c>
      <c r="R51" s="28" t="n">
        <f aca="false">SUMPRODUCT($E$6:$E$49,R6:R49)</f>
        <v>12</v>
      </c>
    </row>
    <row r="53" customFormat="false" ht="15" hidden="false" customHeight="false" outlineLevel="0" collapsed="false">
      <c r="A53" s="18" t="s">
        <v>216</v>
      </c>
    </row>
  </sheetData>
  <conditionalFormatting sqref="F6:R49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5" min="3" style="0" width="12"/>
  </cols>
  <sheetData>
    <row r="1" customFormat="false" ht="19.7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5" customFormat="false" ht="61.5" hidden="false" customHeight="true" outlineLevel="0" collapsed="false">
      <c r="B5" s="5" t="s">
        <v>219</v>
      </c>
      <c r="C5" s="5" t="s">
        <v>51</v>
      </c>
      <c r="D5" s="5" t="s">
        <v>52</v>
      </c>
      <c r="E5" s="5" t="s">
        <v>55</v>
      </c>
      <c r="F5" s="5" t="s">
        <v>63</v>
      </c>
      <c r="G5" s="5" t="s">
        <v>58</v>
      </c>
      <c r="H5" s="5" t="s">
        <v>67</v>
      </c>
      <c r="I5" s="5" t="s">
        <v>53</v>
      </c>
      <c r="J5" s="5" t="s">
        <v>60</v>
      </c>
      <c r="K5" s="5" t="s">
        <v>54</v>
      </c>
      <c r="L5" s="5" t="s">
        <v>61</v>
      </c>
      <c r="M5" s="5" t="s">
        <v>57</v>
      </c>
      <c r="N5" s="5" t="s">
        <v>68</v>
      </c>
      <c r="O5" s="5" t="s">
        <v>64</v>
      </c>
    </row>
    <row r="6" customFormat="false" ht="30" hidden="false" customHeight="true" outlineLevel="0" collapsed="false">
      <c r="B6" s="29" t="s">
        <v>51</v>
      </c>
      <c r="C6" s="30" t="s">
        <v>220</v>
      </c>
      <c r="D6" s="31" t="n">
        <f aca="false">SUMPRODUCT('Matriz habilidades'!$E$6:$E$49,'Matriz habilidades'!$F$6:$F$49,'Matriz habilidades'!$G$6:$G$49)/SUMPRODUCT('Matriz habilidades'!$E$6:$E$49,'Matriz habilidades'!$G$6:$G$49)</f>
        <v>0.5</v>
      </c>
      <c r="E6" s="31" t="n">
        <f aca="false">SUMPRODUCT('Matriz habilidades'!$E$6:$E$49,'Matriz habilidades'!$F$6:$F$49,'Matriz habilidades'!$H$6:$H$49)/SUMPRODUCT('Matriz habilidades'!$E$6:$E$49,'Matriz habilidades'!$H$6:$H$49)</f>
        <v>0</v>
      </c>
      <c r="F6" s="31" t="n">
        <f aca="false">SUMPRODUCT('Matriz habilidades'!$E$6:$E$49,'Matriz habilidades'!$F$6:$F$49,'Matriz habilidades'!$I$6:$I$49)/SUMPRODUCT('Matriz habilidades'!$E$6:$E$49,'Matriz habilidades'!$I$6:$I$49)</f>
        <v>0</v>
      </c>
      <c r="G6" s="31" t="n">
        <f aca="false">SUMPRODUCT('Matriz habilidades'!$E$6:$E$49,'Matriz habilidades'!$F$6:$F$49,'Matriz habilidades'!$J$6:$J$49)/SUMPRODUCT('Matriz habilidades'!$E$6:$E$49,'Matriz habilidades'!$J$6:$J$49)</f>
        <v>0.0833333333333333</v>
      </c>
      <c r="H6" s="31" t="n">
        <f aca="false">SUMPRODUCT('Matriz habilidades'!$E$6:$E$49,'Matriz habilidades'!$F$6:$F$49,'Matriz habilidades'!$K$6:$K$49)/SUMPRODUCT('Matriz habilidades'!$E$6:$E$49,'Matriz habilidades'!$K$6:$K$49)</f>
        <v>0</v>
      </c>
      <c r="I6" s="31" t="n">
        <f aca="false">SUMPRODUCT('Matriz habilidades'!$E$6:$E$49,'Matriz habilidades'!$F$6:$F$49,'Matriz habilidades'!$L$6:$L$49)/SUMPRODUCT('Matriz habilidades'!$E$6:$E$49,'Matriz habilidades'!$L$6:$L$49)</f>
        <v>0.384615384615385</v>
      </c>
      <c r="J6" s="31" t="n">
        <f aca="false">SUMPRODUCT('Matriz habilidades'!$E$6:$E$49,'Matriz habilidades'!$F$6:$F$49,'Matriz habilidades'!$M$6:$M$49)/SUMPRODUCT('Matriz habilidades'!$E$6:$E$49,'Matriz habilidades'!$M$6:$M$49)</f>
        <v>0</v>
      </c>
      <c r="K6" s="31" t="n">
        <f aca="false">SUMPRODUCT('Matriz habilidades'!$E$6:$E$49,'Matriz habilidades'!$F$6:$F$49,'Matriz habilidades'!$N$6:$N$49)/SUMPRODUCT('Matriz habilidades'!$E$6:$E$49,'Matriz habilidades'!$N$6:$N$49)</f>
        <v>0.25</v>
      </c>
      <c r="L6" s="31" t="n">
        <f aca="false">SUMPRODUCT('Matriz habilidades'!$E$6:$E$49,'Matriz habilidades'!$F$6:$F$49,'Matriz habilidades'!$O$6:$O$49)/SUMPRODUCT('Matriz habilidades'!$E$6:$E$49,'Matriz habilidades'!$O$6:$O$49)</f>
        <v>0</v>
      </c>
      <c r="M6" s="31" t="n">
        <f aca="false">SUMPRODUCT('Matriz habilidades'!$E$6:$E$49,'Matriz habilidades'!$F$6:$F$49,'Matriz habilidades'!$P$6:$P$49)/SUMPRODUCT('Matriz habilidades'!$E$6:$E$49,'Matriz habilidades'!$P$6:$P$49)</f>
        <v>0.0714285714285714</v>
      </c>
      <c r="N6" s="31" t="n">
        <f aca="false">SUMPRODUCT('Matriz habilidades'!$E$6:$E$49,'Matriz habilidades'!$F$6:$F$49,'Matriz habilidades'!$Q$6:$Q$49)/SUMPRODUCT('Matriz habilidades'!$E$6:$E$49,'Matriz habilidades'!$Q$6:$Q$49)</f>
        <v>0.166666666666667</v>
      </c>
      <c r="O6" s="31" t="n">
        <f aca="false">SUMPRODUCT('Matriz habilidades'!$E$6:$E$49,'Matriz habilidades'!$F$6:$F$49,'Matriz habilidades'!$R$6:$R$49)/SUMPRODUCT('Matriz habilidades'!$E$6:$E$49,'Matriz habilidades'!$R$6:$R$49)</f>
        <v>0.0833333333333333</v>
      </c>
    </row>
    <row r="7" customFormat="false" ht="30" hidden="false" customHeight="true" outlineLevel="0" collapsed="false">
      <c r="B7" s="29" t="s">
        <v>52</v>
      </c>
      <c r="C7" s="31" t="n">
        <f aca="false">SUMPRODUCT('Matriz habilidades'!$E$6:$E$49,'Matriz habilidades'!$G$6:$G$49,'Matriz habilidades'!$F$6:$F$49)/SUMPRODUCT('Matriz habilidades'!$E$6:$E$49,'Matriz habilidades'!$F$6:$F$49)</f>
        <v>0.538461538461538</v>
      </c>
      <c r="D7" s="30" t="s">
        <v>220</v>
      </c>
      <c r="E7" s="31" t="n">
        <f aca="false">SUMPRODUCT('Matriz habilidades'!$E$6:$E$49,'Matriz habilidades'!$G$6:$G$49,'Matriz habilidades'!$H$6:$H$49)/SUMPRODUCT('Matriz habilidades'!$E$6:$E$49,'Matriz habilidades'!$H$6:$H$49)</f>
        <v>0.153846153846154</v>
      </c>
      <c r="F7" s="31" t="n">
        <f aca="false">SUMPRODUCT('Matriz habilidades'!$E$6:$E$49,'Matriz habilidades'!$G$6:$G$49,'Matriz habilidades'!$I$6:$I$49)/SUMPRODUCT('Matriz habilidades'!$E$6:$E$49,'Matriz habilidades'!$I$6:$I$49)</f>
        <v>0</v>
      </c>
      <c r="G7" s="31" t="n">
        <f aca="false">SUMPRODUCT('Matriz habilidades'!$E$6:$E$49,'Matriz habilidades'!$G$6:$G$49,'Matriz habilidades'!$J$6:$J$49)/SUMPRODUCT('Matriz habilidades'!$E$6:$E$49,'Matriz habilidades'!$J$6:$J$49)</f>
        <v>0</v>
      </c>
      <c r="H7" s="31" t="n">
        <f aca="false">SUMPRODUCT('Matriz habilidades'!$E$6:$E$49,'Matriz habilidades'!$G$6:$G$49,'Matriz habilidades'!$K$6:$K$49)/SUMPRODUCT('Matriz habilidades'!$E$6:$E$49,'Matriz habilidades'!$K$6:$K$49)</f>
        <v>0</v>
      </c>
      <c r="I7" s="31" t="n">
        <f aca="false">SUMPRODUCT('Matriz habilidades'!$E$6:$E$49,'Matriz habilidades'!$G$6:$G$49,'Matriz habilidades'!$L$6:$L$49)/SUMPRODUCT('Matriz habilidades'!$E$6:$E$49,'Matriz habilidades'!$L$6:$L$49)</f>
        <v>0.384615384615385</v>
      </c>
      <c r="J7" s="31" t="n">
        <f aca="false">SUMPRODUCT('Matriz habilidades'!$E$6:$E$49,'Matriz habilidades'!$G$6:$G$49,'Matriz habilidades'!$M$6:$M$49)/SUMPRODUCT('Matriz habilidades'!$E$6:$E$49,'Matriz habilidades'!$M$6:$M$49)</f>
        <v>0</v>
      </c>
      <c r="K7" s="31" t="n">
        <f aca="false">SUMPRODUCT('Matriz habilidades'!$E$6:$E$49,'Matriz habilidades'!$G$6:$G$49,'Matriz habilidades'!$N$6:$N$49)/SUMPRODUCT('Matriz habilidades'!$E$6:$E$49,'Matriz habilidades'!$N$6:$N$49)</f>
        <v>0.166666666666667</v>
      </c>
      <c r="L7" s="31" t="n">
        <f aca="false">SUMPRODUCT('Matriz habilidades'!$E$6:$E$49,'Matriz habilidades'!$G$6:$G$49,'Matriz habilidades'!$O$6:$O$49)/SUMPRODUCT('Matriz habilidades'!$E$6:$E$49,'Matriz habilidades'!$O$6:$O$49)</f>
        <v>0</v>
      </c>
      <c r="M7" s="31" t="n">
        <f aca="false">SUMPRODUCT('Matriz habilidades'!$E$6:$E$49,'Matriz habilidades'!$G$6:$G$49,'Matriz habilidades'!$P$6:$P$49)/SUMPRODUCT('Matriz habilidades'!$E$6:$E$49,'Matriz habilidades'!$P$6:$P$49)</f>
        <v>0.285714285714286</v>
      </c>
      <c r="N7" s="31" t="n">
        <f aca="false">SUMPRODUCT('Matriz habilidades'!$E$6:$E$49,'Matriz habilidades'!$G$6:$G$49,'Matriz habilidades'!$Q$6:$Q$49)/SUMPRODUCT('Matriz habilidades'!$E$6:$E$49,'Matriz habilidades'!$Q$6:$Q$49)</f>
        <v>0.0833333333333333</v>
      </c>
      <c r="O7" s="31" t="n">
        <f aca="false">SUMPRODUCT('Matriz habilidades'!$E$6:$E$49,'Matriz habilidades'!$G$6:$G$49,'Matriz habilidades'!$R$6:$R$49)/SUMPRODUCT('Matriz habilidades'!$E$6:$E$49,'Matriz habilidades'!$R$6:$R$49)</f>
        <v>0</v>
      </c>
    </row>
    <row r="8" customFormat="false" ht="30" hidden="false" customHeight="true" outlineLevel="0" collapsed="false">
      <c r="B8" s="29" t="s">
        <v>55</v>
      </c>
      <c r="C8" s="31" t="n">
        <f aca="false">SUMPRODUCT('Matriz habilidades'!$E$6:$E$49,'Matriz habilidades'!$H$6:$H$49,'Matriz habilidades'!$F$6:$F$49)/SUMPRODUCT('Matriz habilidades'!$E$6:$E$49,'Matriz habilidades'!$F$6:$F$49)</f>
        <v>0</v>
      </c>
      <c r="D8" s="31" t="n">
        <f aca="false">SUMPRODUCT('Matriz habilidades'!$E$6:$E$49,'Matriz habilidades'!$H$6:$H$49,'Matriz habilidades'!$G$6:$G$49)/SUMPRODUCT('Matriz habilidades'!$E$6:$E$49,'Matriz habilidades'!$G$6:$G$49)</f>
        <v>0.142857142857143</v>
      </c>
      <c r="E8" s="30" t="s">
        <v>220</v>
      </c>
      <c r="F8" s="31" t="n">
        <f aca="false">SUMPRODUCT('Matriz habilidades'!$E$6:$E$49,'Matriz habilidades'!$H$6:$H$49,'Matriz habilidades'!$I$6:$I$49)/SUMPRODUCT('Matriz habilidades'!$E$6:$E$49,'Matriz habilidades'!$I$6:$I$49)</f>
        <v>0.0769230769230769</v>
      </c>
      <c r="G8" s="31" t="n">
        <f aca="false">SUMPRODUCT('Matriz habilidades'!$E$6:$E$49,'Matriz habilidades'!$H$6:$H$49,'Matriz habilidades'!$J$6:$J$49)/SUMPRODUCT('Matriz habilidades'!$E$6:$E$49,'Matriz habilidades'!$J$6:$J$49)</f>
        <v>0.0833333333333333</v>
      </c>
      <c r="H8" s="31" t="n">
        <f aca="false">SUMPRODUCT('Matriz habilidades'!$E$6:$E$49,'Matriz habilidades'!$H$6:$H$49,'Matriz habilidades'!$K$6:$K$49)/SUMPRODUCT('Matriz habilidades'!$E$6:$E$49,'Matriz habilidades'!$K$6:$K$49)</f>
        <v>0</v>
      </c>
      <c r="I8" s="31" t="n">
        <f aca="false">SUMPRODUCT('Matriz habilidades'!$E$6:$E$49,'Matriz habilidades'!$H$6:$H$49,'Matriz habilidades'!$L$6:$L$49)/SUMPRODUCT('Matriz habilidades'!$E$6:$E$49,'Matriz habilidades'!$L$6:$L$49)</f>
        <v>0</v>
      </c>
      <c r="J8" s="31" t="n">
        <f aca="false">SUMPRODUCT('Matriz habilidades'!$E$6:$E$49,'Matriz habilidades'!$H$6:$H$49,'Matriz habilidades'!$M$6:$M$49)/SUMPRODUCT('Matriz habilidades'!$E$6:$E$49,'Matriz habilidades'!$M$6:$M$49)</f>
        <v>0.461538461538462</v>
      </c>
      <c r="K8" s="31" t="n">
        <f aca="false">SUMPRODUCT('Matriz habilidades'!$E$6:$E$49,'Matriz habilidades'!$H$6:$H$49,'Matriz habilidades'!$N$6:$N$49)/SUMPRODUCT('Matriz habilidades'!$E$6:$E$49,'Matriz habilidades'!$N$6:$N$49)</f>
        <v>0.0833333333333333</v>
      </c>
      <c r="L8" s="31" t="n">
        <f aca="false">SUMPRODUCT('Matriz habilidades'!$E$6:$E$49,'Matriz habilidades'!$H$6:$H$49,'Matriz habilidades'!$O$6:$O$49)/SUMPRODUCT('Matriz habilidades'!$E$6:$E$49,'Matriz habilidades'!$O$6:$O$49)</f>
        <v>0.181818181818182</v>
      </c>
      <c r="M8" s="31" t="n">
        <f aca="false">SUMPRODUCT('Matriz habilidades'!$E$6:$E$49,'Matriz habilidades'!$H$6:$H$49,'Matriz habilidades'!$P$6:$P$49)/SUMPRODUCT('Matriz habilidades'!$E$6:$E$49,'Matriz habilidades'!$P$6:$P$49)</f>
        <v>0</v>
      </c>
      <c r="N8" s="31" t="n">
        <f aca="false">SUMPRODUCT('Matriz habilidades'!$E$6:$E$49,'Matriz habilidades'!$H$6:$H$49,'Matriz habilidades'!$Q$6:$Q$49)/SUMPRODUCT('Matriz habilidades'!$E$6:$E$49,'Matriz habilidades'!$Q$6:$Q$49)</f>
        <v>0</v>
      </c>
      <c r="O8" s="31" t="n">
        <f aca="false">SUMPRODUCT('Matriz habilidades'!$E$6:$E$49,'Matriz habilidades'!$H$6:$H$49,'Matriz habilidades'!$R$6:$R$49)/SUMPRODUCT('Matriz habilidades'!$E$6:$E$49,'Matriz habilidades'!$R$6:$R$49)</f>
        <v>0</v>
      </c>
    </row>
    <row r="9" customFormat="false" ht="30" hidden="false" customHeight="true" outlineLevel="0" collapsed="false">
      <c r="B9" s="29" t="s">
        <v>63</v>
      </c>
      <c r="C9" s="31" t="n">
        <f aca="false">SUMPRODUCT('Matriz habilidades'!$E$6:$E$49,'Matriz habilidades'!$I$6:$I$49,'Matriz habilidades'!$F$6:$F$49)/SUMPRODUCT('Matriz habilidades'!$E$6:$E$49,'Matriz habilidades'!$F$6:$F$49)</f>
        <v>0</v>
      </c>
      <c r="D9" s="31" t="n">
        <f aca="false">SUMPRODUCT('Matriz habilidades'!$E$6:$E$49,'Matriz habilidades'!$I$6:$I$49,'Matriz habilidades'!$G$6:$G$49)/SUMPRODUCT('Matriz habilidades'!$E$6:$E$49,'Matriz habilidades'!$G$6:$G$49)</f>
        <v>0</v>
      </c>
      <c r="E9" s="31" t="n">
        <f aca="false">SUMPRODUCT('Matriz habilidades'!$E$6:$E$49,'Matriz habilidades'!$I$6:$I$49,'Matriz habilidades'!$H$6:$H$49)/SUMPRODUCT('Matriz habilidades'!$E$6:$E$49,'Matriz habilidades'!$H$6:$H$49)</f>
        <v>0.0769230769230769</v>
      </c>
      <c r="F9" s="30" t="s">
        <v>220</v>
      </c>
      <c r="G9" s="31" t="n">
        <f aca="false">SUMPRODUCT('Matriz habilidades'!$E$6:$E$49,'Matriz habilidades'!$I$6:$I$49,'Matriz habilidades'!$J$6:$J$49)/SUMPRODUCT('Matriz habilidades'!$E$6:$E$49,'Matriz habilidades'!$J$6:$J$49)</f>
        <v>0.0833333333333333</v>
      </c>
      <c r="H9" s="31" t="n">
        <f aca="false">SUMPRODUCT('Matriz habilidades'!$E$6:$E$49,'Matriz habilidades'!$I$6:$I$49,'Matriz habilidades'!$K$6:$K$49)/SUMPRODUCT('Matriz habilidades'!$E$6:$E$49,'Matriz habilidades'!$K$6:$K$49)</f>
        <v>0</v>
      </c>
      <c r="I9" s="31" t="n">
        <f aca="false">SUMPRODUCT('Matriz habilidades'!$E$6:$E$49,'Matriz habilidades'!$I$6:$I$49,'Matriz habilidades'!$L$6:$L$49)/SUMPRODUCT('Matriz habilidades'!$E$6:$E$49,'Matriz habilidades'!$L$6:$L$49)</f>
        <v>0</v>
      </c>
      <c r="J9" s="31" t="n">
        <f aca="false">SUMPRODUCT('Matriz habilidades'!$E$6:$E$49,'Matriz habilidades'!$I$6:$I$49,'Matriz habilidades'!$M$6:$M$49)/SUMPRODUCT('Matriz habilidades'!$E$6:$E$49,'Matriz habilidades'!$M$6:$M$49)</f>
        <v>0.230769230769231</v>
      </c>
      <c r="K9" s="31" t="n">
        <f aca="false">SUMPRODUCT('Matriz habilidades'!$E$6:$E$49,'Matriz habilidades'!$I$6:$I$49,'Matriz habilidades'!$N$6:$N$49)/SUMPRODUCT('Matriz habilidades'!$E$6:$E$49,'Matriz habilidades'!$N$6:$N$49)</f>
        <v>0.0833333333333333</v>
      </c>
      <c r="L9" s="31" t="n">
        <f aca="false">SUMPRODUCT('Matriz habilidades'!$E$6:$E$49,'Matriz habilidades'!$I$6:$I$49,'Matriz habilidades'!$O$6:$O$49)/SUMPRODUCT('Matriz habilidades'!$E$6:$E$49,'Matriz habilidades'!$O$6:$O$49)</f>
        <v>0.0909090909090909</v>
      </c>
      <c r="M9" s="31" t="n">
        <f aca="false">SUMPRODUCT('Matriz habilidades'!$E$6:$E$49,'Matriz habilidades'!$I$6:$I$49,'Matriz habilidades'!$P$6:$P$49)/SUMPRODUCT('Matriz habilidades'!$E$6:$E$49,'Matriz habilidades'!$P$6:$P$49)</f>
        <v>0.285714285714286</v>
      </c>
      <c r="N9" s="31" t="n">
        <f aca="false">SUMPRODUCT('Matriz habilidades'!$E$6:$E$49,'Matriz habilidades'!$I$6:$I$49,'Matriz habilidades'!$Q$6:$Q$49)/SUMPRODUCT('Matriz habilidades'!$E$6:$E$49,'Matriz habilidades'!$Q$6:$Q$49)</f>
        <v>0.0833333333333333</v>
      </c>
      <c r="O9" s="31" t="n">
        <f aca="false">SUMPRODUCT('Matriz habilidades'!$E$6:$E$49,'Matriz habilidades'!$I$6:$I$49,'Matriz habilidades'!$R$6:$R$49)/SUMPRODUCT('Matriz habilidades'!$E$6:$E$49,'Matriz habilidades'!$R$6:$R$49)</f>
        <v>0.25</v>
      </c>
    </row>
    <row r="10" customFormat="false" ht="30" hidden="false" customHeight="true" outlineLevel="0" collapsed="false">
      <c r="B10" s="29" t="s">
        <v>58</v>
      </c>
      <c r="C10" s="31" t="n">
        <f aca="false">SUMPRODUCT('Matriz habilidades'!$E$6:$E$49,'Matriz habilidades'!$J$6:$J$49,'Matriz habilidades'!$F$6:$F$49)/SUMPRODUCT('Matriz habilidades'!$E$6:$E$49,'Matriz habilidades'!$F$6:$F$49)</f>
        <v>0.0769230769230769</v>
      </c>
      <c r="D10" s="31" t="n">
        <f aca="false">SUMPRODUCT('Matriz habilidades'!$E$6:$E$49,'Matriz habilidades'!$J$6:$J$49,'Matriz habilidades'!$G$6:$G$49)/SUMPRODUCT('Matriz habilidades'!$E$6:$E$49,'Matriz habilidades'!$G$6:$G$49)</f>
        <v>0</v>
      </c>
      <c r="E10" s="31" t="n">
        <f aca="false">SUMPRODUCT('Matriz habilidades'!$E$6:$E$49,'Matriz habilidades'!$J$6:$J$49,'Matriz habilidades'!$H$6:$H$49)/SUMPRODUCT('Matriz habilidades'!$E$6:$E$49,'Matriz habilidades'!$H$6:$H$49)</f>
        <v>0.0769230769230769</v>
      </c>
      <c r="F10" s="31" t="n">
        <f aca="false">SUMPRODUCT('Matriz habilidades'!$E$6:$E$49,'Matriz habilidades'!$J$6:$J$49,'Matriz habilidades'!$I$6:$I$49)/SUMPRODUCT('Matriz habilidades'!$E$6:$E$49,'Matriz habilidades'!$I$6:$I$49)</f>
        <v>0.0769230769230769</v>
      </c>
      <c r="G10" s="30" t="s">
        <v>220</v>
      </c>
      <c r="H10" s="31" t="n">
        <f aca="false">SUMPRODUCT('Matriz habilidades'!$E$6:$E$49,'Matriz habilidades'!$J$6:$J$49,'Matriz habilidades'!$K$6:$K$49)/SUMPRODUCT('Matriz habilidades'!$E$6:$E$49,'Matriz habilidades'!$K$6:$K$49)</f>
        <v>0.153846153846154</v>
      </c>
      <c r="I10" s="31" t="n">
        <f aca="false">SUMPRODUCT('Matriz habilidades'!$E$6:$E$49,'Matriz habilidades'!$J$6:$J$49,'Matriz habilidades'!$L$6:$L$49)/SUMPRODUCT('Matriz habilidades'!$E$6:$E$49,'Matriz habilidades'!$L$6:$L$49)</f>
        <v>0</v>
      </c>
      <c r="J10" s="31" t="n">
        <f aca="false">SUMPRODUCT('Matriz habilidades'!$E$6:$E$49,'Matriz habilidades'!$J$6:$J$49,'Matriz habilidades'!$M$6:$M$49)/SUMPRODUCT('Matriz habilidades'!$E$6:$E$49,'Matriz habilidades'!$M$6:$M$49)</f>
        <v>0.230769230769231</v>
      </c>
      <c r="K10" s="31" t="n">
        <f aca="false">SUMPRODUCT('Matriz habilidades'!$E$6:$E$49,'Matriz habilidades'!$J$6:$J$49,'Matriz habilidades'!$N$6:$N$49)/SUMPRODUCT('Matriz habilidades'!$E$6:$E$49,'Matriz habilidades'!$N$6:$N$49)</f>
        <v>0.25</v>
      </c>
      <c r="L10" s="31" t="n">
        <f aca="false">SUMPRODUCT('Matriz habilidades'!$E$6:$E$49,'Matriz habilidades'!$J$6:$J$49,'Matriz habilidades'!$O$6:$O$49)/SUMPRODUCT('Matriz habilidades'!$E$6:$E$49,'Matriz habilidades'!$O$6:$O$49)</f>
        <v>0.272727272727273</v>
      </c>
      <c r="M10" s="31" t="n">
        <f aca="false">SUMPRODUCT('Matriz habilidades'!$E$6:$E$49,'Matriz habilidades'!$J$6:$J$49,'Matriz habilidades'!$P$6:$P$49)/SUMPRODUCT('Matriz habilidades'!$E$6:$E$49,'Matriz habilidades'!$P$6:$P$49)</f>
        <v>0</v>
      </c>
      <c r="N10" s="31" t="n">
        <f aca="false">SUMPRODUCT('Matriz habilidades'!$E$6:$E$49,'Matriz habilidades'!$J$6:$J$49,'Matriz habilidades'!$Q$6:$Q$49)/SUMPRODUCT('Matriz habilidades'!$E$6:$E$49,'Matriz habilidades'!$Q$6:$Q$49)</f>
        <v>0.166666666666667</v>
      </c>
      <c r="O10" s="31" t="n">
        <f aca="false">SUMPRODUCT('Matriz habilidades'!$E$6:$E$49,'Matriz habilidades'!$J$6:$J$49,'Matriz habilidades'!$R$6:$R$49)/SUMPRODUCT('Matriz habilidades'!$E$6:$E$49,'Matriz habilidades'!$R$6:$R$49)</f>
        <v>0.583333333333333</v>
      </c>
    </row>
    <row r="11" customFormat="false" ht="30" hidden="false" customHeight="true" outlineLevel="0" collapsed="false">
      <c r="B11" s="29" t="s">
        <v>67</v>
      </c>
      <c r="C11" s="31" t="n">
        <f aca="false">SUMPRODUCT('Matriz habilidades'!$E$6:$E$49,'Matriz habilidades'!$K$6:$K$49,'Matriz habilidades'!$F$6:$F$49)/SUMPRODUCT('Matriz habilidades'!$E$6:$E$49,'Matriz habilidades'!$F$6:$F$49)</f>
        <v>0</v>
      </c>
      <c r="D11" s="31" t="n">
        <f aca="false">SUMPRODUCT('Matriz habilidades'!$E$6:$E$49,'Matriz habilidades'!$K$6:$K$49,'Matriz habilidades'!$G$6:$G$49)/SUMPRODUCT('Matriz habilidades'!$E$6:$E$49,'Matriz habilidades'!$G$6:$G$49)</f>
        <v>0</v>
      </c>
      <c r="E11" s="31" t="n">
        <f aca="false">SUMPRODUCT('Matriz habilidades'!$E$6:$E$49,'Matriz habilidades'!$K$6:$K$49,'Matriz habilidades'!$H$6:$H$49)/SUMPRODUCT('Matriz habilidades'!$E$6:$E$49,'Matriz habilidades'!$H$6:$H$49)</f>
        <v>0</v>
      </c>
      <c r="F11" s="31" t="n">
        <f aca="false">SUMPRODUCT('Matriz habilidades'!$E$6:$E$49,'Matriz habilidades'!$K$6:$K$49,'Matriz habilidades'!$I$6:$I$49)/SUMPRODUCT('Matriz habilidades'!$E$6:$E$49,'Matriz habilidades'!$I$6:$I$49)</f>
        <v>0</v>
      </c>
      <c r="G11" s="31" t="n">
        <f aca="false">SUMPRODUCT('Matriz habilidades'!$E$6:$E$49,'Matriz habilidades'!$K$6:$K$49,'Matriz habilidades'!$J$6:$J$49)/SUMPRODUCT('Matriz habilidades'!$E$6:$E$49,'Matriz habilidades'!$J$6:$J$49)</f>
        <v>0.166666666666667</v>
      </c>
      <c r="H11" s="30" t="s">
        <v>220</v>
      </c>
      <c r="I11" s="31" t="n">
        <f aca="false">SUMPRODUCT('Matriz habilidades'!$E$6:$E$49,'Matriz habilidades'!$K$6:$K$49,'Matriz habilidades'!$L$6:$L$49)/SUMPRODUCT('Matriz habilidades'!$E$6:$E$49,'Matriz habilidades'!$L$6:$L$49)</f>
        <v>0.0769230769230769</v>
      </c>
      <c r="J11" s="31" t="n">
        <f aca="false">SUMPRODUCT('Matriz habilidades'!$E$6:$E$49,'Matriz habilidades'!$K$6:$K$49,'Matriz habilidades'!$M$6:$M$49)/SUMPRODUCT('Matriz habilidades'!$E$6:$E$49,'Matriz habilidades'!$M$6:$M$49)</f>
        <v>0.230769230769231</v>
      </c>
      <c r="K11" s="31" t="n">
        <f aca="false">SUMPRODUCT('Matriz habilidades'!$E$6:$E$49,'Matriz habilidades'!$K$6:$K$49,'Matriz habilidades'!$N$6:$N$49)/SUMPRODUCT('Matriz habilidades'!$E$6:$E$49,'Matriz habilidades'!$N$6:$N$49)</f>
        <v>0.25</v>
      </c>
      <c r="L11" s="31" t="n">
        <f aca="false">SUMPRODUCT('Matriz habilidades'!$E$6:$E$49,'Matriz habilidades'!$K$6:$K$49,'Matriz habilidades'!$O$6:$O$49)/SUMPRODUCT('Matriz habilidades'!$E$6:$E$49,'Matriz habilidades'!$O$6:$O$49)</f>
        <v>0.0909090909090909</v>
      </c>
      <c r="M11" s="31" t="n">
        <f aca="false">SUMPRODUCT('Matriz habilidades'!$E$6:$E$49,'Matriz habilidades'!$K$6:$K$49,'Matriz habilidades'!$P$6:$P$49)/SUMPRODUCT('Matriz habilidades'!$E$6:$E$49,'Matriz habilidades'!$P$6:$P$49)</f>
        <v>0</v>
      </c>
      <c r="N11" s="31" t="n">
        <f aca="false">SUMPRODUCT('Matriz habilidades'!$E$6:$E$49,'Matriz habilidades'!$K$6:$K$49,'Matriz habilidades'!$Q$6:$Q$49)/SUMPRODUCT('Matriz habilidades'!$E$6:$E$49,'Matriz habilidades'!$Q$6:$Q$49)</f>
        <v>0.333333333333333</v>
      </c>
      <c r="O11" s="31" t="n">
        <f aca="false">SUMPRODUCT('Matriz habilidades'!$E$6:$E$49,'Matriz habilidades'!$K$6:$K$49,'Matriz habilidades'!$R$6:$R$49)/SUMPRODUCT('Matriz habilidades'!$E$6:$E$49,'Matriz habilidades'!$R$6:$R$49)</f>
        <v>0</v>
      </c>
    </row>
    <row r="12" customFormat="false" ht="30" hidden="false" customHeight="true" outlineLevel="0" collapsed="false">
      <c r="B12" s="29" t="s">
        <v>53</v>
      </c>
      <c r="C12" s="31" t="n">
        <f aca="false">SUMPRODUCT('Matriz habilidades'!$E$6:$E$49,'Matriz habilidades'!$L$6:$L$49,'Matriz habilidades'!$F$6:$F$49)/SUMPRODUCT('Matriz habilidades'!$E$6:$E$49,'Matriz habilidades'!$F$6:$F$49)</f>
        <v>0.384615384615385</v>
      </c>
      <c r="D12" s="31" t="n">
        <f aca="false">SUMPRODUCT('Matriz habilidades'!$E$6:$E$49,'Matriz habilidades'!$L$6:$L$49,'Matriz habilidades'!$G$6:$G$49)/SUMPRODUCT('Matriz habilidades'!$E$6:$E$49,'Matriz habilidades'!$G$6:$G$49)</f>
        <v>0.357142857142857</v>
      </c>
      <c r="E12" s="31" t="n">
        <f aca="false">SUMPRODUCT('Matriz habilidades'!$E$6:$E$49,'Matriz habilidades'!$L$6:$L$49,'Matriz habilidades'!$H$6:$H$49)/SUMPRODUCT('Matriz habilidades'!$E$6:$E$49,'Matriz habilidades'!$H$6:$H$49)</f>
        <v>0</v>
      </c>
      <c r="F12" s="31" t="n">
        <f aca="false">SUMPRODUCT('Matriz habilidades'!$E$6:$E$49,'Matriz habilidades'!$L$6:$L$49,'Matriz habilidades'!$I$6:$I$49)/SUMPRODUCT('Matriz habilidades'!$E$6:$E$49,'Matriz habilidades'!$I$6:$I$49)</f>
        <v>0</v>
      </c>
      <c r="G12" s="31" t="n">
        <f aca="false">SUMPRODUCT('Matriz habilidades'!$E$6:$E$49,'Matriz habilidades'!$L$6:$L$49,'Matriz habilidades'!$J$6:$J$49)/SUMPRODUCT('Matriz habilidades'!$E$6:$E$49,'Matriz habilidades'!$J$6:$J$49)</f>
        <v>0</v>
      </c>
      <c r="H12" s="31" t="n">
        <f aca="false">SUMPRODUCT('Matriz habilidades'!$E$6:$E$49,'Matriz habilidades'!$L$6:$L$49,'Matriz habilidades'!$K$6:$K$49)/SUMPRODUCT('Matriz habilidades'!$E$6:$E$49,'Matriz habilidades'!$K$6:$K$49)</f>
        <v>0.0769230769230769</v>
      </c>
      <c r="I12" s="30" t="s">
        <v>220</v>
      </c>
      <c r="J12" s="31" t="n">
        <f aca="false">SUMPRODUCT('Matriz habilidades'!$E$6:$E$49,'Matriz habilidades'!$L$6:$L$49,'Matriz habilidades'!$M$6:$M$49)/SUMPRODUCT('Matriz habilidades'!$E$6:$E$49,'Matriz habilidades'!$M$6:$M$49)</f>
        <v>0</v>
      </c>
      <c r="K12" s="31" t="n">
        <f aca="false">SUMPRODUCT('Matriz habilidades'!$E$6:$E$49,'Matriz habilidades'!$L$6:$L$49,'Matriz habilidades'!$N$6:$N$49)/SUMPRODUCT('Matriz habilidades'!$E$6:$E$49,'Matriz habilidades'!$N$6:$N$49)</f>
        <v>0.166666666666667</v>
      </c>
      <c r="L12" s="31" t="n">
        <f aca="false">SUMPRODUCT('Matriz habilidades'!$E$6:$E$49,'Matriz habilidades'!$L$6:$L$49,'Matriz habilidades'!$O$6:$O$49)/SUMPRODUCT('Matriz habilidades'!$E$6:$E$49,'Matriz habilidades'!$O$6:$O$49)</f>
        <v>0</v>
      </c>
      <c r="M12" s="31" t="n">
        <f aca="false">SUMPRODUCT('Matriz habilidades'!$E$6:$E$49,'Matriz habilidades'!$L$6:$L$49,'Matriz habilidades'!$P$6:$P$49)/SUMPRODUCT('Matriz habilidades'!$E$6:$E$49,'Matriz habilidades'!$P$6:$P$49)</f>
        <v>0.214285714285714</v>
      </c>
      <c r="N12" s="31" t="n">
        <f aca="false">SUMPRODUCT('Matriz habilidades'!$E$6:$E$49,'Matriz habilidades'!$L$6:$L$49,'Matriz habilidades'!$Q$6:$Q$49)/SUMPRODUCT('Matriz habilidades'!$E$6:$E$49,'Matriz habilidades'!$Q$6:$Q$49)</f>
        <v>0.333333333333333</v>
      </c>
      <c r="O12" s="31" t="n">
        <f aca="false">SUMPRODUCT('Matriz habilidades'!$E$6:$E$49,'Matriz habilidades'!$L$6:$L$49,'Matriz habilidades'!$R$6:$R$49)/SUMPRODUCT('Matriz habilidades'!$E$6:$E$49,'Matriz habilidades'!$R$6:$R$49)</f>
        <v>0</v>
      </c>
    </row>
    <row r="13" customFormat="false" ht="30" hidden="false" customHeight="true" outlineLevel="0" collapsed="false">
      <c r="B13" s="29" t="s">
        <v>60</v>
      </c>
      <c r="C13" s="31" t="n">
        <f aca="false">SUMPRODUCT('Matriz habilidades'!$E$6:$E$49,'Matriz habilidades'!$M$6:$M$49,'Matriz habilidades'!$F$6:$F$49)/SUMPRODUCT('Matriz habilidades'!$E$6:$E$49,'Matriz habilidades'!$F$6:$F$49)</f>
        <v>0</v>
      </c>
      <c r="D13" s="31" t="n">
        <f aca="false">SUMPRODUCT('Matriz habilidades'!$E$6:$E$49,'Matriz habilidades'!$M$6:$M$49,'Matriz habilidades'!$G$6:$G$49)/SUMPRODUCT('Matriz habilidades'!$E$6:$E$49,'Matriz habilidades'!$G$6:$G$49)</f>
        <v>0</v>
      </c>
      <c r="E13" s="31" t="n">
        <f aca="false">SUMPRODUCT('Matriz habilidades'!$E$6:$E$49,'Matriz habilidades'!$M$6:$M$49,'Matriz habilidades'!$H$6:$H$49)/SUMPRODUCT('Matriz habilidades'!$E$6:$E$49,'Matriz habilidades'!$H$6:$H$49)</f>
        <v>0.461538461538462</v>
      </c>
      <c r="F13" s="31" t="n">
        <f aca="false">SUMPRODUCT('Matriz habilidades'!$E$6:$E$49,'Matriz habilidades'!$M$6:$M$49,'Matriz habilidades'!$I$6:$I$49)/SUMPRODUCT('Matriz habilidades'!$E$6:$E$49,'Matriz habilidades'!$I$6:$I$49)</f>
        <v>0.230769230769231</v>
      </c>
      <c r="G13" s="31" t="n">
        <f aca="false">SUMPRODUCT('Matriz habilidades'!$E$6:$E$49,'Matriz habilidades'!$M$6:$M$49,'Matriz habilidades'!$J$6:$J$49)/SUMPRODUCT('Matriz habilidades'!$E$6:$E$49,'Matriz habilidades'!$J$6:$J$49)</f>
        <v>0.25</v>
      </c>
      <c r="H13" s="31" t="n">
        <f aca="false">SUMPRODUCT('Matriz habilidades'!$E$6:$E$49,'Matriz habilidades'!$M$6:$M$49,'Matriz habilidades'!$K$6:$K$49)/SUMPRODUCT('Matriz habilidades'!$E$6:$E$49,'Matriz habilidades'!$K$6:$K$49)</f>
        <v>0.230769230769231</v>
      </c>
      <c r="I13" s="31" t="n">
        <f aca="false">SUMPRODUCT('Matriz habilidades'!$E$6:$E$49,'Matriz habilidades'!$M$6:$M$49,'Matriz habilidades'!$L$6:$L$49)/SUMPRODUCT('Matriz habilidades'!$E$6:$E$49,'Matriz habilidades'!$L$6:$L$49)</f>
        <v>0</v>
      </c>
      <c r="J13" s="30" t="s">
        <v>220</v>
      </c>
      <c r="K13" s="31" t="n">
        <f aca="false">SUMPRODUCT('Matriz habilidades'!$E$6:$E$49,'Matriz habilidades'!$M$6:$M$49,'Matriz habilidades'!$N$6:$N$49)/SUMPRODUCT('Matriz habilidades'!$E$6:$E$49,'Matriz habilidades'!$N$6:$N$49)</f>
        <v>0.333333333333333</v>
      </c>
      <c r="L13" s="31" t="n">
        <f aca="false">SUMPRODUCT('Matriz habilidades'!$E$6:$E$49,'Matriz habilidades'!$M$6:$M$49,'Matriz habilidades'!$O$6:$O$49)/SUMPRODUCT('Matriz habilidades'!$E$6:$E$49,'Matriz habilidades'!$O$6:$O$49)</f>
        <v>0.363636363636364</v>
      </c>
      <c r="M13" s="31" t="n">
        <f aca="false">SUMPRODUCT('Matriz habilidades'!$E$6:$E$49,'Matriz habilidades'!$M$6:$M$49,'Matriz habilidades'!$P$6:$P$49)/SUMPRODUCT('Matriz habilidades'!$E$6:$E$49,'Matriz habilidades'!$P$6:$P$49)</f>
        <v>0.142857142857143</v>
      </c>
      <c r="N13" s="31" t="n">
        <f aca="false">SUMPRODUCT('Matriz habilidades'!$E$6:$E$49,'Matriz habilidades'!$M$6:$M$49,'Matriz habilidades'!$Q$6:$Q$49)/SUMPRODUCT('Matriz habilidades'!$E$6:$E$49,'Matriz habilidades'!$Q$6:$Q$49)</f>
        <v>0</v>
      </c>
      <c r="O13" s="31" t="n">
        <f aca="false">SUMPRODUCT('Matriz habilidades'!$E$6:$E$49,'Matriz habilidades'!$M$6:$M$49,'Matriz habilidades'!$R$6:$R$49)/SUMPRODUCT('Matriz habilidades'!$E$6:$E$49,'Matriz habilidades'!$R$6:$R$49)</f>
        <v>0.333333333333333</v>
      </c>
    </row>
    <row r="14" customFormat="false" ht="30" hidden="false" customHeight="true" outlineLevel="0" collapsed="false">
      <c r="B14" s="29" t="s">
        <v>54</v>
      </c>
      <c r="C14" s="31" t="n">
        <f aca="false">SUMPRODUCT('Matriz habilidades'!$E$6:$E$49,'Matriz habilidades'!$N$6:$N$49,'Matriz habilidades'!$F$6:$F$49)/SUMPRODUCT('Matriz habilidades'!$E$6:$E$49,'Matriz habilidades'!$F$6:$F$49)</f>
        <v>0.230769230769231</v>
      </c>
      <c r="D14" s="31" t="n">
        <f aca="false">SUMPRODUCT('Matriz habilidades'!$E$6:$E$49,'Matriz habilidades'!$N$6:$N$49,'Matriz habilidades'!$G$6:$G$49)/SUMPRODUCT('Matriz habilidades'!$E$6:$E$49,'Matriz habilidades'!$G$6:$G$49)</f>
        <v>0.142857142857143</v>
      </c>
      <c r="E14" s="31" t="n">
        <f aca="false">SUMPRODUCT('Matriz habilidades'!$E$6:$E$49,'Matriz habilidades'!$N$6:$N$49,'Matriz habilidades'!$H$6:$H$49)/SUMPRODUCT('Matriz habilidades'!$E$6:$E$49,'Matriz habilidades'!$H$6:$H$49)</f>
        <v>0.0769230769230769</v>
      </c>
      <c r="F14" s="31" t="n">
        <f aca="false">SUMPRODUCT('Matriz habilidades'!$E$6:$E$49,'Matriz habilidades'!$N$6:$N$49,'Matriz habilidades'!$I$6:$I$49)/SUMPRODUCT('Matriz habilidades'!$E$6:$E$49,'Matriz habilidades'!$I$6:$I$49)</f>
        <v>0.0769230769230769</v>
      </c>
      <c r="G14" s="31" t="n">
        <f aca="false">SUMPRODUCT('Matriz habilidades'!$E$6:$E$49,'Matriz habilidades'!$N$6:$N$49,'Matriz habilidades'!$J$6:$J$49)/SUMPRODUCT('Matriz habilidades'!$E$6:$E$49,'Matriz habilidades'!$J$6:$J$49)</f>
        <v>0.25</v>
      </c>
      <c r="H14" s="31" t="n">
        <f aca="false">SUMPRODUCT('Matriz habilidades'!$E$6:$E$49,'Matriz habilidades'!$N$6:$N$49,'Matriz habilidades'!$K$6:$K$49)/SUMPRODUCT('Matriz habilidades'!$E$6:$E$49,'Matriz habilidades'!$K$6:$K$49)</f>
        <v>0.230769230769231</v>
      </c>
      <c r="I14" s="31" t="n">
        <f aca="false">SUMPRODUCT('Matriz habilidades'!$E$6:$E$49,'Matriz habilidades'!$N$6:$N$49,'Matriz habilidades'!$L$6:$L$49)/SUMPRODUCT('Matriz habilidades'!$E$6:$E$49,'Matriz habilidades'!$L$6:$L$49)</f>
        <v>0.153846153846154</v>
      </c>
      <c r="J14" s="31" t="n">
        <f aca="false">SUMPRODUCT('Matriz habilidades'!$E$6:$E$49,'Matriz habilidades'!$N$6:$N$49,'Matriz habilidades'!$M$6:$M$49)/SUMPRODUCT('Matriz habilidades'!$E$6:$E$49,'Matriz habilidades'!$M$6:$M$49)</f>
        <v>0.307692307692308</v>
      </c>
      <c r="K14" s="30" t="s">
        <v>220</v>
      </c>
      <c r="L14" s="31" t="n">
        <f aca="false">SUMPRODUCT('Matriz habilidades'!$E$6:$E$49,'Matriz habilidades'!$N$6:$N$49,'Matriz habilidades'!$O$6:$O$49)/SUMPRODUCT('Matriz habilidades'!$E$6:$E$49,'Matriz habilidades'!$O$6:$O$49)</f>
        <v>0.0909090909090909</v>
      </c>
      <c r="M14" s="31" t="n">
        <f aca="false">SUMPRODUCT('Matriz habilidades'!$E$6:$E$49,'Matriz habilidades'!$N$6:$N$49,'Matriz habilidades'!$P$6:$P$49)/SUMPRODUCT('Matriz habilidades'!$E$6:$E$49,'Matriz habilidades'!$P$6:$P$49)</f>
        <v>0</v>
      </c>
      <c r="N14" s="31" t="n">
        <f aca="false">SUMPRODUCT('Matriz habilidades'!$E$6:$E$49,'Matriz habilidades'!$N$6:$N$49,'Matriz habilidades'!$Q$6:$Q$49)/SUMPRODUCT('Matriz habilidades'!$E$6:$E$49,'Matriz habilidades'!$Q$6:$Q$49)</f>
        <v>0.166666666666667</v>
      </c>
      <c r="O14" s="31" t="n">
        <f aca="false">SUMPRODUCT('Matriz habilidades'!$E$6:$E$49,'Matriz habilidades'!$N$6:$N$49,'Matriz habilidades'!$R$6:$R$49)/SUMPRODUCT('Matriz habilidades'!$E$6:$E$49,'Matriz habilidades'!$R$6:$R$49)</f>
        <v>0.166666666666667</v>
      </c>
    </row>
    <row r="15" customFormat="false" ht="30" hidden="false" customHeight="true" outlineLevel="0" collapsed="false">
      <c r="B15" s="29" t="s">
        <v>61</v>
      </c>
      <c r="C15" s="31" t="n">
        <f aca="false">SUMPRODUCT('Matriz habilidades'!$E$6:$E$49,'Matriz habilidades'!$O$6:$O$49,'Matriz habilidades'!$F$6:$F$49)/SUMPRODUCT('Matriz habilidades'!$E$6:$E$49,'Matriz habilidades'!$F$6:$F$49)</f>
        <v>0</v>
      </c>
      <c r="D15" s="31" t="n">
        <f aca="false">SUMPRODUCT('Matriz habilidades'!$E$6:$E$49,'Matriz habilidades'!$O$6:$O$49,'Matriz habilidades'!$G$6:$G$49)/SUMPRODUCT('Matriz habilidades'!$E$6:$E$49,'Matriz habilidades'!$G$6:$G$49)</f>
        <v>0</v>
      </c>
      <c r="E15" s="31" t="n">
        <f aca="false">SUMPRODUCT('Matriz habilidades'!$E$6:$E$49,'Matriz habilidades'!$O$6:$O$49,'Matriz habilidades'!$H$6:$H$49)/SUMPRODUCT('Matriz habilidades'!$E$6:$E$49,'Matriz habilidades'!$H$6:$H$49)</f>
        <v>0.153846153846154</v>
      </c>
      <c r="F15" s="31" t="n">
        <f aca="false">SUMPRODUCT('Matriz habilidades'!$E$6:$E$49,'Matriz habilidades'!$O$6:$O$49,'Matriz habilidades'!$I$6:$I$49)/SUMPRODUCT('Matriz habilidades'!$E$6:$E$49,'Matriz habilidades'!$I$6:$I$49)</f>
        <v>0.0769230769230769</v>
      </c>
      <c r="G15" s="31" t="n">
        <f aca="false">SUMPRODUCT('Matriz habilidades'!$E$6:$E$49,'Matriz habilidades'!$O$6:$O$49,'Matriz habilidades'!$J$6:$J$49)/SUMPRODUCT('Matriz habilidades'!$E$6:$E$49,'Matriz habilidades'!$J$6:$J$49)</f>
        <v>0.25</v>
      </c>
      <c r="H15" s="31" t="n">
        <f aca="false">SUMPRODUCT('Matriz habilidades'!$E$6:$E$49,'Matriz habilidades'!$O$6:$O$49,'Matriz habilidades'!$K$6:$K$49)/SUMPRODUCT('Matriz habilidades'!$E$6:$E$49,'Matriz habilidades'!$K$6:$K$49)</f>
        <v>0.0769230769230769</v>
      </c>
      <c r="I15" s="31" t="n">
        <f aca="false">SUMPRODUCT('Matriz habilidades'!$E$6:$E$49,'Matriz habilidades'!$O$6:$O$49,'Matriz habilidades'!$L$6:$L$49)/SUMPRODUCT('Matriz habilidades'!$E$6:$E$49,'Matriz habilidades'!$L$6:$L$49)</f>
        <v>0</v>
      </c>
      <c r="J15" s="31" t="n">
        <f aca="false">SUMPRODUCT('Matriz habilidades'!$E$6:$E$49,'Matriz habilidades'!$O$6:$O$49,'Matriz habilidades'!$M$6:$M$49)/SUMPRODUCT('Matriz habilidades'!$E$6:$E$49,'Matriz habilidades'!$M$6:$M$49)</f>
        <v>0.307692307692308</v>
      </c>
      <c r="K15" s="31" t="n">
        <f aca="false">SUMPRODUCT('Matriz habilidades'!$E$6:$E$49,'Matriz habilidades'!$O$6:$O$49,'Matriz habilidades'!$N$6:$N$49)/SUMPRODUCT('Matriz habilidades'!$E$6:$E$49,'Matriz habilidades'!$N$6:$N$49)</f>
        <v>0.0833333333333333</v>
      </c>
      <c r="L15" s="30" t="s">
        <v>220</v>
      </c>
      <c r="M15" s="31" t="n">
        <f aca="false">SUMPRODUCT('Matriz habilidades'!$E$6:$E$49,'Matriz habilidades'!$O$6:$O$49,'Matriz habilidades'!$P$6:$P$49)/SUMPRODUCT('Matriz habilidades'!$E$6:$E$49,'Matriz habilidades'!$P$6:$P$49)</f>
        <v>0</v>
      </c>
      <c r="N15" s="31" t="n">
        <f aca="false">SUMPRODUCT('Matriz habilidades'!$E$6:$E$49,'Matriz habilidades'!$O$6:$O$49,'Matriz habilidades'!$Q$6:$Q$49)/SUMPRODUCT('Matriz habilidades'!$E$6:$E$49,'Matriz habilidades'!$Q$6:$Q$49)</f>
        <v>0</v>
      </c>
      <c r="O15" s="31" t="n">
        <f aca="false">SUMPRODUCT('Matriz habilidades'!$E$6:$E$49,'Matriz habilidades'!$O$6:$O$49,'Matriz habilidades'!$R$6:$R$49)/SUMPRODUCT('Matriz habilidades'!$E$6:$E$49,'Matriz habilidades'!$R$6:$R$49)</f>
        <v>0.25</v>
      </c>
    </row>
    <row r="16" customFormat="false" ht="30" hidden="false" customHeight="true" outlineLevel="0" collapsed="false">
      <c r="B16" s="29" t="s">
        <v>57</v>
      </c>
      <c r="C16" s="31" t="n">
        <f aca="false">SUMPRODUCT('Matriz habilidades'!$E$6:$E$49,'Matriz habilidades'!$P$6:$P$49,'Matriz habilidades'!$F$6:$F$49)/SUMPRODUCT('Matriz habilidades'!$E$6:$E$49,'Matriz habilidades'!$F$6:$F$49)</f>
        <v>0.0769230769230769</v>
      </c>
      <c r="D16" s="31" t="n">
        <f aca="false">SUMPRODUCT('Matriz habilidades'!$E$6:$E$49,'Matriz habilidades'!$P$6:$P$49,'Matriz habilidades'!$G$6:$G$49)/SUMPRODUCT('Matriz habilidades'!$E$6:$E$49,'Matriz habilidades'!$G$6:$G$49)</f>
        <v>0.285714285714286</v>
      </c>
      <c r="E16" s="31" t="n">
        <f aca="false">SUMPRODUCT('Matriz habilidades'!$E$6:$E$49,'Matriz habilidades'!$P$6:$P$49,'Matriz habilidades'!$H$6:$H$49)/SUMPRODUCT('Matriz habilidades'!$E$6:$E$49,'Matriz habilidades'!$H$6:$H$49)</f>
        <v>0</v>
      </c>
      <c r="F16" s="31" t="n">
        <f aca="false">SUMPRODUCT('Matriz habilidades'!$E$6:$E$49,'Matriz habilidades'!$P$6:$P$49,'Matriz habilidades'!$I$6:$I$49)/SUMPRODUCT('Matriz habilidades'!$E$6:$E$49,'Matriz habilidades'!$I$6:$I$49)</f>
        <v>0.307692307692308</v>
      </c>
      <c r="G16" s="31" t="n">
        <f aca="false">SUMPRODUCT('Matriz habilidades'!$E$6:$E$49,'Matriz habilidades'!$P$6:$P$49,'Matriz habilidades'!$J$6:$J$49)/SUMPRODUCT('Matriz habilidades'!$E$6:$E$49,'Matriz habilidades'!$J$6:$J$49)</f>
        <v>0</v>
      </c>
      <c r="H16" s="31" t="n">
        <f aca="false">SUMPRODUCT('Matriz habilidades'!$E$6:$E$49,'Matriz habilidades'!$P$6:$P$49,'Matriz habilidades'!$K$6:$K$49)/SUMPRODUCT('Matriz habilidades'!$E$6:$E$49,'Matriz habilidades'!$K$6:$K$49)</f>
        <v>0</v>
      </c>
      <c r="I16" s="31" t="n">
        <f aca="false">SUMPRODUCT('Matriz habilidades'!$E$6:$E$49,'Matriz habilidades'!$P$6:$P$49,'Matriz habilidades'!$L$6:$L$49)/SUMPRODUCT('Matriz habilidades'!$E$6:$E$49,'Matriz habilidades'!$L$6:$L$49)</f>
        <v>0.230769230769231</v>
      </c>
      <c r="J16" s="31" t="n">
        <f aca="false">SUMPRODUCT('Matriz habilidades'!$E$6:$E$49,'Matriz habilidades'!$P$6:$P$49,'Matriz habilidades'!$M$6:$M$49)/SUMPRODUCT('Matriz habilidades'!$E$6:$E$49,'Matriz habilidades'!$M$6:$M$49)</f>
        <v>0.153846153846154</v>
      </c>
      <c r="K16" s="31" t="n">
        <f aca="false">SUMPRODUCT('Matriz habilidades'!$E$6:$E$49,'Matriz habilidades'!$P$6:$P$49,'Matriz habilidades'!$N$6:$N$49)/SUMPRODUCT('Matriz habilidades'!$E$6:$E$49,'Matriz habilidades'!$N$6:$N$49)</f>
        <v>0</v>
      </c>
      <c r="L16" s="31" t="n">
        <f aca="false">SUMPRODUCT('Matriz habilidades'!$E$6:$E$49,'Matriz habilidades'!$P$6:$P$49,'Matriz habilidades'!$O$6:$O$49)/SUMPRODUCT('Matriz habilidades'!$E$6:$E$49,'Matriz habilidades'!$O$6:$O$49)</f>
        <v>0</v>
      </c>
      <c r="M16" s="30" t="s">
        <v>220</v>
      </c>
      <c r="N16" s="31" t="n">
        <f aca="false">SUMPRODUCT('Matriz habilidades'!$E$6:$E$49,'Matriz habilidades'!$P$6:$P$49,'Matriz habilidades'!$Q$6:$Q$49)/SUMPRODUCT('Matriz habilidades'!$E$6:$E$49,'Matriz habilidades'!$Q$6:$Q$49)</f>
        <v>0.0833333333333333</v>
      </c>
      <c r="O16" s="31" t="n">
        <f aca="false">SUMPRODUCT('Matriz habilidades'!$E$6:$E$49,'Matriz habilidades'!$P$6:$P$49,'Matriz habilidades'!$R$6:$R$49)/SUMPRODUCT('Matriz habilidades'!$E$6:$E$49,'Matriz habilidades'!$R$6:$R$49)</f>
        <v>0.166666666666667</v>
      </c>
    </row>
    <row r="17" customFormat="false" ht="30" hidden="false" customHeight="true" outlineLevel="0" collapsed="false">
      <c r="B17" s="29" t="s">
        <v>68</v>
      </c>
      <c r="C17" s="31" t="n">
        <f aca="false">SUMPRODUCT('Matriz habilidades'!$E$6:$E$49,'Matriz habilidades'!$Q$6:$Q$49,'Matriz habilidades'!$F$6:$F$49)/SUMPRODUCT('Matriz habilidades'!$E$6:$E$49,'Matriz habilidades'!$F$6:$F$49)</f>
        <v>0.153846153846154</v>
      </c>
      <c r="D17" s="31" t="n">
        <f aca="false">SUMPRODUCT('Matriz habilidades'!$E$6:$E$49,'Matriz habilidades'!$Q$6:$Q$49,'Matriz habilidades'!$G$6:$G$49)/SUMPRODUCT('Matriz habilidades'!$E$6:$E$49,'Matriz habilidades'!$G$6:$G$49)</f>
        <v>0.0714285714285714</v>
      </c>
      <c r="E17" s="31" t="n">
        <f aca="false">SUMPRODUCT('Matriz habilidades'!$E$6:$E$49,'Matriz habilidades'!$Q$6:$Q$49,'Matriz habilidades'!$H$6:$H$49)/SUMPRODUCT('Matriz habilidades'!$E$6:$E$49,'Matriz habilidades'!$H$6:$H$49)</f>
        <v>0</v>
      </c>
      <c r="F17" s="31" t="n">
        <f aca="false">SUMPRODUCT('Matriz habilidades'!$E$6:$E$49,'Matriz habilidades'!$Q$6:$Q$49,'Matriz habilidades'!$I$6:$I$49)/SUMPRODUCT('Matriz habilidades'!$E$6:$E$49,'Matriz habilidades'!$I$6:$I$49)</f>
        <v>0.0769230769230769</v>
      </c>
      <c r="G17" s="31" t="n">
        <f aca="false">SUMPRODUCT('Matriz habilidades'!$E$6:$E$49,'Matriz habilidades'!$Q$6:$Q$49,'Matriz habilidades'!$J$6:$J$49)/SUMPRODUCT('Matriz habilidades'!$E$6:$E$49,'Matriz habilidades'!$J$6:$J$49)</f>
        <v>0.166666666666667</v>
      </c>
      <c r="H17" s="31" t="n">
        <f aca="false">SUMPRODUCT('Matriz habilidades'!$E$6:$E$49,'Matriz habilidades'!$Q$6:$Q$49,'Matriz habilidades'!$K$6:$K$49)/SUMPRODUCT('Matriz habilidades'!$E$6:$E$49,'Matriz habilidades'!$K$6:$K$49)</f>
        <v>0.307692307692308</v>
      </c>
      <c r="I17" s="31" t="n">
        <f aca="false">SUMPRODUCT('Matriz habilidades'!$E$6:$E$49,'Matriz habilidades'!$Q$6:$Q$49,'Matriz habilidades'!$L$6:$L$49)/SUMPRODUCT('Matriz habilidades'!$E$6:$E$49,'Matriz habilidades'!$L$6:$L$49)</f>
        <v>0.307692307692308</v>
      </c>
      <c r="J17" s="31" t="n">
        <f aca="false">SUMPRODUCT('Matriz habilidades'!$E$6:$E$49,'Matriz habilidades'!$Q$6:$Q$49,'Matriz habilidades'!$M$6:$M$49)/SUMPRODUCT('Matriz habilidades'!$E$6:$E$49,'Matriz habilidades'!$M$6:$M$49)</f>
        <v>0</v>
      </c>
      <c r="K17" s="31" t="n">
        <f aca="false">SUMPRODUCT('Matriz habilidades'!$E$6:$E$49,'Matriz habilidades'!$Q$6:$Q$49,'Matriz habilidades'!$N$6:$N$49)/SUMPRODUCT('Matriz habilidades'!$E$6:$E$49,'Matriz habilidades'!$N$6:$N$49)</f>
        <v>0.166666666666667</v>
      </c>
      <c r="L17" s="31" t="n">
        <f aca="false">SUMPRODUCT('Matriz habilidades'!$E$6:$E$49,'Matriz habilidades'!$Q$6:$Q$49,'Matriz habilidades'!$O$6:$O$49)/SUMPRODUCT('Matriz habilidades'!$E$6:$E$49,'Matriz habilidades'!$O$6:$O$49)</f>
        <v>0</v>
      </c>
      <c r="M17" s="31" t="n">
        <f aca="false">SUMPRODUCT('Matriz habilidades'!$E$6:$E$49,'Matriz habilidades'!$Q$6:$Q$49,'Matriz habilidades'!$P$6:$P$49)/SUMPRODUCT('Matriz habilidades'!$E$6:$E$49,'Matriz habilidades'!$P$6:$P$49)</f>
        <v>0.0714285714285714</v>
      </c>
      <c r="N17" s="30" t="s">
        <v>220</v>
      </c>
      <c r="O17" s="31" t="n">
        <f aca="false">SUMPRODUCT('Matriz habilidades'!$E$6:$E$49,'Matriz habilidades'!$Q$6:$Q$49,'Matriz habilidades'!$R$6:$R$49)/SUMPRODUCT('Matriz habilidades'!$E$6:$E$49,'Matriz habilidades'!$R$6:$R$49)</f>
        <v>0.166666666666667</v>
      </c>
    </row>
    <row r="18" customFormat="false" ht="30" hidden="false" customHeight="true" outlineLevel="0" collapsed="false">
      <c r="B18" s="29" t="s">
        <v>64</v>
      </c>
      <c r="C18" s="31" t="n">
        <f aca="false">SUMPRODUCT('Matriz habilidades'!$E$6:$E$49,'Matriz habilidades'!$R$6:$R$49,'Matriz habilidades'!$F$6:$F$49)/SUMPRODUCT('Matriz habilidades'!$E$6:$E$49,'Matriz habilidades'!$F$6:$F$49)</f>
        <v>0.0769230769230769</v>
      </c>
      <c r="D18" s="31" t="n">
        <f aca="false">SUMPRODUCT('Matriz habilidades'!$E$6:$E$49,'Matriz habilidades'!$R$6:$R$49,'Matriz habilidades'!$G$6:$G$49)/SUMPRODUCT('Matriz habilidades'!$E$6:$E$49,'Matriz habilidades'!$G$6:$G$49)</f>
        <v>0</v>
      </c>
      <c r="E18" s="31" t="n">
        <f aca="false">SUMPRODUCT('Matriz habilidades'!$E$6:$E$49,'Matriz habilidades'!$R$6:$R$49,'Matriz habilidades'!$H$6:$H$49)/SUMPRODUCT('Matriz habilidades'!$E$6:$E$49,'Matriz habilidades'!$H$6:$H$49)</f>
        <v>0</v>
      </c>
      <c r="F18" s="31" t="n">
        <f aca="false">SUMPRODUCT('Matriz habilidades'!$E$6:$E$49,'Matriz habilidades'!$R$6:$R$49,'Matriz habilidades'!$I$6:$I$49)/SUMPRODUCT('Matriz habilidades'!$E$6:$E$49,'Matriz habilidades'!$I$6:$I$49)</f>
        <v>0.230769230769231</v>
      </c>
      <c r="G18" s="31" t="n">
        <f aca="false">SUMPRODUCT('Matriz habilidades'!$E$6:$E$49,'Matriz habilidades'!$R$6:$R$49,'Matriz habilidades'!$J$6:$J$49)/SUMPRODUCT('Matriz habilidades'!$E$6:$E$49,'Matriz habilidades'!$J$6:$J$49)</f>
        <v>0.583333333333333</v>
      </c>
      <c r="H18" s="31" t="n">
        <f aca="false">SUMPRODUCT('Matriz habilidades'!$E$6:$E$49,'Matriz habilidades'!$R$6:$R$49,'Matriz habilidades'!$K$6:$K$49)/SUMPRODUCT('Matriz habilidades'!$E$6:$E$49,'Matriz habilidades'!$K$6:$K$49)</f>
        <v>0</v>
      </c>
      <c r="I18" s="31" t="n">
        <f aca="false">SUMPRODUCT('Matriz habilidades'!$E$6:$E$49,'Matriz habilidades'!$R$6:$R$49,'Matriz habilidades'!$L$6:$L$49)/SUMPRODUCT('Matriz habilidades'!$E$6:$E$49,'Matriz habilidades'!$L$6:$L$49)</f>
        <v>0</v>
      </c>
      <c r="J18" s="31" t="n">
        <f aca="false">SUMPRODUCT('Matriz habilidades'!$E$6:$E$49,'Matriz habilidades'!$R$6:$R$49,'Matriz habilidades'!$M$6:$M$49)/SUMPRODUCT('Matriz habilidades'!$E$6:$E$49,'Matriz habilidades'!$M$6:$M$49)</f>
        <v>0.307692307692308</v>
      </c>
      <c r="K18" s="31" t="n">
        <f aca="false">SUMPRODUCT('Matriz habilidades'!$E$6:$E$49,'Matriz habilidades'!$R$6:$R$49,'Matriz habilidades'!$N$6:$N$49)/SUMPRODUCT('Matriz habilidades'!$E$6:$E$49,'Matriz habilidades'!$N$6:$N$49)</f>
        <v>0.166666666666667</v>
      </c>
      <c r="L18" s="31" t="n">
        <f aca="false">SUMPRODUCT('Matriz habilidades'!$E$6:$E$49,'Matriz habilidades'!$R$6:$R$49,'Matriz habilidades'!$O$6:$O$49)/SUMPRODUCT('Matriz habilidades'!$E$6:$E$49,'Matriz habilidades'!$O$6:$O$49)</f>
        <v>0.272727272727273</v>
      </c>
      <c r="M18" s="31" t="n">
        <f aca="false">SUMPRODUCT('Matriz habilidades'!$E$6:$E$49,'Matriz habilidades'!$R$6:$R$49,'Matriz habilidades'!$P$6:$P$49)/SUMPRODUCT('Matriz habilidades'!$E$6:$E$49,'Matriz habilidades'!$P$6:$P$49)</f>
        <v>0.142857142857143</v>
      </c>
      <c r="N18" s="31" t="n">
        <f aca="false">SUMPRODUCT('Matriz habilidades'!$E$6:$E$49,'Matriz habilidades'!$R$6:$R$49,'Matriz habilidades'!$Q$6:$Q$49)/SUMPRODUCT('Matriz habilidades'!$E$6:$E$49,'Matriz habilidades'!$Q$6:$Q$49)</f>
        <v>0.166666666666667</v>
      </c>
      <c r="O18" s="30" t="s">
        <v>220</v>
      </c>
    </row>
    <row r="20" customFormat="false" ht="15" hidden="false" customHeight="false" outlineLevel="0" collapsed="false">
      <c r="B20" s="27" t="s">
        <v>221</v>
      </c>
    </row>
    <row r="21" customFormat="false" ht="15" hidden="false" customHeight="false" outlineLevel="0" collapsed="false">
      <c r="B21" s="32" t="s">
        <v>222</v>
      </c>
    </row>
    <row r="22" customFormat="false" ht="15" hidden="false" customHeight="false" outlineLevel="0" collapsed="false">
      <c r="B22" s="32" t="s">
        <v>223</v>
      </c>
    </row>
    <row r="23" customFormat="false" ht="15" hidden="false" customHeight="false" outlineLevel="0" collapsed="false">
      <c r="B23" s="32" t="s">
        <v>224</v>
      </c>
    </row>
  </sheetData>
  <conditionalFormatting sqref="C6:O18">
    <cfRule type="expression" priority="2" aboveAverage="0" equalAverage="0" bottom="0" percent="0" rank="0" text="" dxfId="1">
      <formula>ROW()-5=COLUMN()-2</formula>
    </cfRule>
    <cfRule type="colorScale" priority="3">
      <colorScale>
        <cfvo type="num" val="0"/>
        <cfvo type="num" val="0.3"/>
        <cfvo type="num" val="0.6"/>
        <color rgb="FFFFFFFF"/>
        <color rgb="FFFDE9B9"/>
        <color rgb="FF26A1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5" min="3" style="0" width="12"/>
  </cols>
  <sheetData>
    <row r="1" customFormat="false" ht="19.7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5" customFormat="false" ht="61.5" hidden="false" customHeight="true" outlineLevel="0" collapsed="false">
      <c r="B5" s="5" t="s">
        <v>227</v>
      </c>
      <c r="C5" s="5" t="s">
        <v>51</v>
      </c>
      <c r="D5" s="5" t="s">
        <v>52</v>
      </c>
      <c r="E5" s="5" t="s">
        <v>55</v>
      </c>
      <c r="F5" s="5" t="s">
        <v>63</v>
      </c>
      <c r="G5" s="5" t="s">
        <v>58</v>
      </c>
      <c r="H5" s="5" t="s">
        <v>67</v>
      </c>
      <c r="I5" s="5" t="s">
        <v>53</v>
      </c>
      <c r="J5" s="5" t="s">
        <v>60</v>
      </c>
      <c r="K5" s="5" t="s">
        <v>54</v>
      </c>
      <c r="L5" s="5" t="s">
        <v>61</v>
      </c>
      <c r="M5" s="5" t="s">
        <v>57</v>
      </c>
      <c r="N5" s="5" t="s">
        <v>68</v>
      </c>
      <c r="O5" s="5" t="s">
        <v>64</v>
      </c>
    </row>
    <row r="6" customFormat="false" ht="15" hidden="false" customHeight="false" outlineLevel="0" collapsed="false">
      <c r="B6" s="29" t="s">
        <v>51</v>
      </c>
      <c r="C6" s="33" t="s">
        <v>220</v>
      </c>
      <c r="D6" s="34" t="n">
        <f aca="false">SUMPRODUCT('Matriz habilidades'!$F$6:$F$49,'Matriz habilidades'!$G$6:$G$49)</f>
        <v>4</v>
      </c>
      <c r="E6" s="34" t="n">
        <f aca="false">SUMPRODUCT('Matriz habilidades'!$F$6:$F$49,'Matriz habilidades'!$H$6:$H$49)</f>
        <v>0</v>
      </c>
      <c r="F6" s="34" t="n">
        <f aca="false">SUMPRODUCT('Matriz habilidades'!$F$6:$F$49,'Matriz habilidades'!$I$6:$I$49)</f>
        <v>0</v>
      </c>
      <c r="G6" s="34" t="n">
        <f aca="false">SUMPRODUCT('Matriz habilidades'!$F$6:$F$49,'Matriz habilidades'!$J$6:$J$49)</f>
        <v>1</v>
      </c>
      <c r="H6" s="34" t="n">
        <f aca="false">SUMPRODUCT('Matriz habilidades'!$F$6:$F$49,'Matriz habilidades'!$K$6:$K$49)</f>
        <v>0</v>
      </c>
      <c r="I6" s="34" t="n">
        <f aca="false">SUMPRODUCT('Matriz habilidades'!$F$6:$F$49,'Matriz habilidades'!$L$6:$L$49)</f>
        <v>3</v>
      </c>
      <c r="J6" s="34" t="n">
        <f aca="false">SUMPRODUCT('Matriz habilidades'!$F$6:$F$49,'Matriz habilidades'!$M$6:$M$49)</f>
        <v>0</v>
      </c>
      <c r="K6" s="34" t="n">
        <f aca="false">SUMPRODUCT('Matriz habilidades'!$F$6:$F$49,'Matriz habilidades'!$N$6:$N$49)</f>
        <v>2</v>
      </c>
      <c r="L6" s="34" t="n">
        <f aca="false">SUMPRODUCT('Matriz habilidades'!$F$6:$F$49,'Matriz habilidades'!$O$6:$O$49)</f>
        <v>0</v>
      </c>
      <c r="M6" s="34" t="n">
        <f aca="false">SUMPRODUCT('Matriz habilidades'!$F$6:$F$49,'Matriz habilidades'!$P$6:$P$49)</f>
        <v>1</v>
      </c>
      <c r="N6" s="34" t="n">
        <f aca="false">SUMPRODUCT('Matriz habilidades'!$F$6:$F$49,'Matriz habilidades'!$Q$6:$Q$49)</f>
        <v>2</v>
      </c>
      <c r="O6" s="34" t="n">
        <f aca="false">SUMPRODUCT('Matriz habilidades'!$F$6:$F$49,'Matriz habilidades'!$R$6:$R$49)</f>
        <v>1</v>
      </c>
    </row>
    <row r="7" customFormat="false" ht="15" hidden="false" customHeight="false" outlineLevel="0" collapsed="false">
      <c r="B7" s="29" t="s">
        <v>52</v>
      </c>
      <c r="C7" s="34" t="n">
        <f aca="false">SUMPRODUCT('Matriz habilidades'!$G$6:$G$49,'Matriz habilidades'!$F$6:$F$49)</f>
        <v>4</v>
      </c>
      <c r="D7" s="33" t="s">
        <v>220</v>
      </c>
      <c r="E7" s="34" t="n">
        <f aca="false">SUMPRODUCT('Matriz habilidades'!$G$6:$G$49,'Matriz habilidades'!$H$6:$H$49)</f>
        <v>1</v>
      </c>
      <c r="F7" s="34" t="n">
        <f aca="false">SUMPRODUCT('Matriz habilidades'!$G$6:$G$49,'Matriz habilidades'!$I$6:$I$49)</f>
        <v>0</v>
      </c>
      <c r="G7" s="34" t="n">
        <f aca="false">SUMPRODUCT('Matriz habilidades'!$G$6:$G$49,'Matriz habilidades'!$J$6:$J$49)</f>
        <v>0</v>
      </c>
      <c r="H7" s="34" t="n">
        <f aca="false">SUMPRODUCT('Matriz habilidades'!$G$6:$G$49,'Matriz habilidades'!$K$6:$K$49)</f>
        <v>0</v>
      </c>
      <c r="I7" s="34" t="n">
        <f aca="false">SUMPRODUCT('Matriz habilidades'!$G$6:$G$49,'Matriz habilidades'!$L$6:$L$49)</f>
        <v>3</v>
      </c>
      <c r="J7" s="34" t="n">
        <f aca="false">SUMPRODUCT('Matriz habilidades'!$G$6:$G$49,'Matriz habilidades'!$M$6:$M$49)</f>
        <v>0</v>
      </c>
      <c r="K7" s="34" t="n">
        <f aca="false">SUMPRODUCT('Matriz habilidades'!$G$6:$G$49,'Matriz habilidades'!$N$6:$N$49)</f>
        <v>1</v>
      </c>
      <c r="L7" s="34" t="n">
        <f aca="false">SUMPRODUCT('Matriz habilidades'!$G$6:$G$49,'Matriz habilidades'!$O$6:$O$49)</f>
        <v>0</v>
      </c>
      <c r="M7" s="34" t="n">
        <f aca="false">SUMPRODUCT('Matriz habilidades'!$G$6:$G$49,'Matriz habilidades'!$P$6:$P$49)</f>
        <v>2</v>
      </c>
      <c r="N7" s="34" t="n">
        <f aca="false">SUMPRODUCT('Matriz habilidades'!$G$6:$G$49,'Matriz habilidades'!$Q$6:$Q$49)</f>
        <v>1</v>
      </c>
      <c r="O7" s="34" t="n">
        <f aca="false">SUMPRODUCT('Matriz habilidades'!$G$6:$G$49,'Matriz habilidades'!$R$6:$R$49)</f>
        <v>0</v>
      </c>
    </row>
    <row r="8" customFormat="false" ht="15" hidden="false" customHeight="false" outlineLevel="0" collapsed="false">
      <c r="B8" s="29" t="s">
        <v>55</v>
      </c>
      <c r="C8" s="34" t="n">
        <f aca="false">SUMPRODUCT('Matriz habilidades'!$H$6:$H$49,'Matriz habilidades'!$F$6:$F$49)</f>
        <v>0</v>
      </c>
      <c r="D8" s="34" t="n">
        <f aca="false">SUMPRODUCT('Matriz habilidades'!$H$6:$H$49,'Matriz habilidades'!$G$6:$G$49)</f>
        <v>1</v>
      </c>
      <c r="E8" s="33" t="s">
        <v>220</v>
      </c>
      <c r="F8" s="34" t="n">
        <f aca="false">SUMPRODUCT('Matriz habilidades'!$H$6:$H$49,'Matriz habilidades'!$I$6:$I$49)</f>
        <v>1</v>
      </c>
      <c r="G8" s="34" t="n">
        <f aca="false">SUMPRODUCT('Matriz habilidades'!$H$6:$H$49,'Matriz habilidades'!$J$6:$J$49)</f>
        <v>1</v>
      </c>
      <c r="H8" s="34" t="n">
        <f aca="false">SUMPRODUCT('Matriz habilidades'!$H$6:$H$49,'Matriz habilidades'!$K$6:$K$49)</f>
        <v>0</v>
      </c>
      <c r="I8" s="34" t="n">
        <f aca="false">SUMPRODUCT('Matriz habilidades'!$H$6:$H$49,'Matriz habilidades'!$L$6:$L$49)</f>
        <v>0</v>
      </c>
      <c r="J8" s="34" t="n">
        <f aca="false">SUMPRODUCT('Matriz habilidades'!$H$6:$H$49,'Matriz habilidades'!$M$6:$M$49)</f>
        <v>4</v>
      </c>
      <c r="K8" s="34" t="n">
        <f aca="false">SUMPRODUCT('Matriz habilidades'!$H$6:$H$49,'Matriz habilidades'!$N$6:$N$49)</f>
        <v>1</v>
      </c>
      <c r="L8" s="34" t="n">
        <f aca="false">SUMPRODUCT('Matriz habilidades'!$H$6:$H$49,'Matriz habilidades'!$O$6:$O$49)</f>
        <v>2</v>
      </c>
      <c r="M8" s="34" t="n">
        <f aca="false">SUMPRODUCT('Matriz habilidades'!$H$6:$H$49,'Matriz habilidades'!$P$6:$P$49)</f>
        <v>0</v>
      </c>
      <c r="N8" s="34" t="n">
        <f aca="false">SUMPRODUCT('Matriz habilidades'!$H$6:$H$49,'Matriz habilidades'!$Q$6:$Q$49)</f>
        <v>0</v>
      </c>
      <c r="O8" s="34" t="n">
        <f aca="false">SUMPRODUCT('Matriz habilidades'!$H$6:$H$49,'Matriz habilidades'!$R$6:$R$49)</f>
        <v>0</v>
      </c>
    </row>
    <row r="9" customFormat="false" ht="15" hidden="false" customHeight="false" outlineLevel="0" collapsed="false">
      <c r="B9" s="29" t="s">
        <v>63</v>
      </c>
      <c r="C9" s="34" t="n">
        <f aca="false">SUMPRODUCT('Matriz habilidades'!$I$6:$I$49,'Matriz habilidades'!$F$6:$F$49)</f>
        <v>0</v>
      </c>
      <c r="D9" s="34" t="n">
        <f aca="false">SUMPRODUCT('Matriz habilidades'!$I$6:$I$49,'Matriz habilidades'!$G$6:$G$49)</f>
        <v>0</v>
      </c>
      <c r="E9" s="34" t="n">
        <f aca="false">SUMPRODUCT('Matriz habilidades'!$I$6:$I$49,'Matriz habilidades'!$H$6:$H$49)</f>
        <v>1</v>
      </c>
      <c r="F9" s="33" t="s">
        <v>220</v>
      </c>
      <c r="G9" s="34" t="n">
        <f aca="false">SUMPRODUCT('Matriz habilidades'!$I$6:$I$49,'Matriz habilidades'!$J$6:$J$49)</f>
        <v>1</v>
      </c>
      <c r="H9" s="34" t="n">
        <f aca="false">SUMPRODUCT('Matriz habilidades'!$I$6:$I$49,'Matriz habilidades'!$K$6:$K$49)</f>
        <v>0</v>
      </c>
      <c r="I9" s="34" t="n">
        <f aca="false">SUMPRODUCT('Matriz habilidades'!$I$6:$I$49,'Matriz habilidades'!$L$6:$L$49)</f>
        <v>0</v>
      </c>
      <c r="J9" s="34" t="n">
        <f aca="false">SUMPRODUCT('Matriz habilidades'!$I$6:$I$49,'Matriz habilidades'!$M$6:$M$49)</f>
        <v>2</v>
      </c>
      <c r="K9" s="34" t="n">
        <f aca="false">SUMPRODUCT('Matriz habilidades'!$I$6:$I$49,'Matriz habilidades'!$N$6:$N$49)</f>
        <v>1</v>
      </c>
      <c r="L9" s="34" t="n">
        <f aca="false">SUMPRODUCT('Matriz habilidades'!$I$6:$I$49,'Matriz habilidades'!$O$6:$O$49)</f>
        <v>1</v>
      </c>
      <c r="M9" s="34" t="n">
        <f aca="false">SUMPRODUCT('Matriz habilidades'!$I$6:$I$49,'Matriz habilidades'!$P$6:$P$49)</f>
        <v>2</v>
      </c>
      <c r="N9" s="34" t="n">
        <f aca="false">SUMPRODUCT('Matriz habilidades'!$I$6:$I$49,'Matriz habilidades'!$Q$6:$Q$49)</f>
        <v>1</v>
      </c>
      <c r="O9" s="34" t="n">
        <f aca="false">SUMPRODUCT('Matriz habilidades'!$I$6:$I$49,'Matriz habilidades'!$R$6:$R$49)</f>
        <v>2</v>
      </c>
    </row>
    <row r="10" customFormat="false" ht="15" hidden="false" customHeight="false" outlineLevel="0" collapsed="false">
      <c r="B10" s="29" t="s">
        <v>58</v>
      </c>
      <c r="C10" s="34" t="n">
        <f aca="false">SUMPRODUCT('Matriz habilidades'!$J$6:$J$49,'Matriz habilidades'!$F$6:$F$49)</f>
        <v>1</v>
      </c>
      <c r="D10" s="34" t="n">
        <f aca="false">SUMPRODUCT('Matriz habilidades'!$J$6:$J$49,'Matriz habilidades'!$G$6:$G$49)</f>
        <v>0</v>
      </c>
      <c r="E10" s="34" t="n">
        <f aca="false">SUMPRODUCT('Matriz habilidades'!$J$6:$J$49,'Matriz habilidades'!$H$6:$H$49)</f>
        <v>1</v>
      </c>
      <c r="F10" s="34" t="n">
        <f aca="false">SUMPRODUCT('Matriz habilidades'!$J$6:$J$49,'Matriz habilidades'!$I$6:$I$49)</f>
        <v>1</v>
      </c>
      <c r="G10" s="33" t="s">
        <v>220</v>
      </c>
      <c r="H10" s="34" t="n">
        <f aca="false">SUMPRODUCT('Matriz habilidades'!$J$6:$J$49,'Matriz habilidades'!$K$6:$K$49)</f>
        <v>1</v>
      </c>
      <c r="I10" s="34" t="n">
        <f aca="false">SUMPRODUCT('Matriz habilidades'!$J$6:$J$49,'Matriz habilidades'!$L$6:$L$49)</f>
        <v>0</v>
      </c>
      <c r="J10" s="34" t="n">
        <f aca="false">SUMPRODUCT('Matriz habilidades'!$J$6:$J$49,'Matriz habilidades'!$M$6:$M$49)</f>
        <v>2</v>
      </c>
      <c r="K10" s="34" t="n">
        <f aca="false">SUMPRODUCT('Matriz habilidades'!$J$6:$J$49,'Matriz habilidades'!$N$6:$N$49)</f>
        <v>3</v>
      </c>
      <c r="L10" s="34" t="n">
        <f aca="false">SUMPRODUCT('Matriz habilidades'!$J$6:$J$49,'Matriz habilidades'!$O$6:$O$49)</f>
        <v>2</v>
      </c>
      <c r="M10" s="34" t="n">
        <f aca="false">SUMPRODUCT('Matriz habilidades'!$J$6:$J$49,'Matriz habilidades'!$P$6:$P$49)</f>
        <v>0</v>
      </c>
      <c r="N10" s="34" t="n">
        <f aca="false">SUMPRODUCT('Matriz habilidades'!$J$6:$J$49,'Matriz habilidades'!$Q$6:$Q$49)</f>
        <v>2</v>
      </c>
      <c r="O10" s="34" t="n">
        <f aca="false">SUMPRODUCT('Matriz habilidades'!$J$6:$J$49,'Matriz habilidades'!$R$6:$R$49)</f>
        <v>4</v>
      </c>
    </row>
    <row r="11" customFormat="false" ht="15" hidden="false" customHeight="false" outlineLevel="0" collapsed="false">
      <c r="B11" s="29" t="s">
        <v>67</v>
      </c>
      <c r="C11" s="34" t="n">
        <f aca="false">SUMPRODUCT('Matriz habilidades'!$K$6:$K$49,'Matriz habilidades'!$F$6:$F$49)</f>
        <v>0</v>
      </c>
      <c r="D11" s="34" t="n">
        <f aca="false">SUMPRODUCT('Matriz habilidades'!$K$6:$K$49,'Matriz habilidades'!$G$6:$G$49)</f>
        <v>0</v>
      </c>
      <c r="E11" s="34" t="n">
        <f aca="false">SUMPRODUCT('Matriz habilidades'!$K$6:$K$49,'Matriz habilidades'!$H$6:$H$49)</f>
        <v>0</v>
      </c>
      <c r="F11" s="34" t="n">
        <f aca="false">SUMPRODUCT('Matriz habilidades'!$K$6:$K$49,'Matriz habilidades'!$I$6:$I$49)</f>
        <v>0</v>
      </c>
      <c r="G11" s="34" t="n">
        <f aca="false">SUMPRODUCT('Matriz habilidades'!$K$6:$K$49,'Matriz habilidades'!$J$6:$J$49)</f>
        <v>1</v>
      </c>
      <c r="H11" s="33" t="s">
        <v>220</v>
      </c>
      <c r="I11" s="34" t="n">
        <f aca="false">SUMPRODUCT('Matriz habilidades'!$K$6:$K$49,'Matriz habilidades'!$L$6:$L$49)</f>
        <v>1</v>
      </c>
      <c r="J11" s="34" t="n">
        <f aca="false">SUMPRODUCT('Matriz habilidades'!$K$6:$K$49,'Matriz habilidades'!$M$6:$M$49)</f>
        <v>1</v>
      </c>
      <c r="K11" s="34" t="n">
        <f aca="false">SUMPRODUCT('Matriz habilidades'!$K$6:$K$49,'Matriz habilidades'!$N$6:$N$49)</f>
        <v>1</v>
      </c>
      <c r="L11" s="34" t="n">
        <f aca="false">SUMPRODUCT('Matriz habilidades'!$K$6:$K$49,'Matriz habilidades'!$O$6:$O$49)</f>
        <v>1</v>
      </c>
      <c r="M11" s="34" t="n">
        <f aca="false">SUMPRODUCT('Matriz habilidades'!$K$6:$K$49,'Matriz habilidades'!$P$6:$P$49)</f>
        <v>0</v>
      </c>
      <c r="N11" s="34" t="n">
        <f aca="false">SUMPRODUCT('Matriz habilidades'!$K$6:$K$49,'Matriz habilidades'!$Q$6:$Q$49)</f>
        <v>2</v>
      </c>
      <c r="O11" s="34" t="n">
        <f aca="false">SUMPRODUCT('Matriz habilidades'!$K$6:$K$49,'Matriz habilidades'!$R$6:$R$49)</f>
        <v>0</v>
      </c>
    </row>
    <row r="12" customFormat="false" ht="15" hidden="false" customHeight="false" outlineLevel="0" collapsed="false">
      <c r="B12" s="29" t="s">
        <v>53</v>
      </c>
      <c r="C12" s="34" t="n">
        <f aca="false">SUMPRODUCT('Matriz habilidades'!$L$6:$L$49,'Matriz habilidades'!$F$6:$F$49)</f>
        <v>3</v>
      </c>
      <c r="D12" s="34" t="n">
        <f aca="false">SUMPRODUCT('Matriz habilidades'!$L$6:$L$49,'Matriz habilidades'!$G$6:$G$49)</f>
        <v>3</v>
      </c>
      <c r="E12" s="34" t="n">
        <f aca="false">SUMPRODUCT('Matriz habilidades'!$L$6:$L$49,'Matriz habilidades'!$H$6:$H$49)</f>
        <v>0</v>
      </c>
      <c r="F12" s="34" t="n">
        <f aca="false">SUMPRODUCT('Matriz habilidades'!$L$6:$L$49,'Matriz habilidades'!$I$6:$I$49)</f>
        <v>0</v>
      </c>
      <c r="G12" s="34" t="n">
        <f aca="false">SUMPRODUCT('Matriz habilidades'!$L$6:$L$49,'Matriz habilidades'!$J$6:$J$49)</f>
        <v>0</v>
      </c>
      <c r="H12" s="34" t="n">
        <f aca="false">SUMPRODUCT('Matriz habilidades'!$L$6:$L$49,'Matriz habilidades'!$K$6:$K$49)</f>
        <v>1</v>
      </c>
      <c r="I12" s="33" t="s">
        <v>220</v>
      </c>
      <c r="J12" s="34" t="n">
        <f aca="false">SUMPRODUCT('Matriz habilidades'!$L$6:$L$49,'Matriz habilidades'!$M$6:$M$49)</f>
        <v>0</v>
      </c>
      <c r="K12" s="34" t="n">
        <f aca="false">SUMPRODUCT('Matriz habilidades'!$L$6:$L$49,'Matriz habilidades'!$N$6:$N$49)</f>
        <v>1</v>
      </c>
      <c r="L12" s="34" t="n">
        <f aca="false">SUMPRODUCT('Matriz habilidades'!$L$6:$L$49,'Matriz habilidades'!$O$6:$O$49)</f>
        <v>0</v>
      </c>
      <c r="M12" s="34" t="n">
        <f aca="false">SUMPRODUCT('Matriz habilidades'!$L$6:$L$49,'Matriz habilidades'!$P$6:$P$49)</f>
        <v>2</v>
      </c>
      <c r="N12" s="34" t="n">
        <f aca="false">SUMPRODUCT('Matriz habilidades'!$L$6:$L$49,'Matriz habilidades'!$Q$6:$Q$49)</f>
        <v>2</v>
      </c>
      <c r="O12" s="34" t="n">
        <f aca="false">SUMPRODUCT('Matriz habilidades'!$L$6:$L$49,'Matriz habilidades'!$R$6:$R$49)</f>
        <v>0</v>
      </c>
    </row>
    <row r="13" customFormat="false" ht="15" hidden="false" customHeight="false" outlineLevel="0" collapsed="false">
      <c r="B13" s="29" t="s">
        <v>60</v>
      </c>
      <c r="C13" s="34" t="n">
        <f aca="false">SUMPRODUCT('Matriz habilidades'!$M$6:$M$49,'Matriz habilidades'!$F$6:$F$49)</f>
        <v>0</v>
      </c>
      <c r="D13" s="34" t="n">
        <f aca="false">SUMPRODUCT('Matriz habilidades'!$M$6:$M$49,'Matriz habilidades'!$G$6:$G$49)</f>
        <v>0</v>
      </c>
      <c r="E13" s="34" t="n">
        <f aca="false">SUMPRODUCT('Matriz habilidades'!$M$6:$M$49,'Matriz habilidades'!$H$6:$H$49)</f>
        <v>4</v>
      </c>
      <c r="F13" s="34" t="n">
        <f aca="false">SUMPRODUCT('Matriz habilidades'!$M$6:$M$49,'Matriz habilidades'!$I$6:$I$49)</f>
        <v>2</v>
      </c>
      <c r="G13" s="34" t="n">
        <f aca="false">SUMPRODUCT('Matriz habilidades'!$M$6:$M$49,'Matriz habilidades'!$J$6:$J$49)</f>
        <v>2</v>
      </c>
      <c r="H13" s="34" t="n">
        <f aca="false">SUMPRODUCT('Matriz habilidades'!$M$6:$M$49,'Matriz habilidades'!$K$6:$K$49)</f>
        <v>1</v>
      </c>
      <c r="I13" s="34" t="n">
        <f aca="false">SUMPRODUCT('Matriz habilidades'!$M$6:$M$49,'Matriz habilidades'!$L$6:$L$49)</f>
        <v>0</v>
      </c>
      <c r="J13" s="33" t="s">
        <v>220</v>
      </c>
      <c r="K13" s="34" t="n">
        <f aca="false">SUMPRODUCT('Matriz habilidades'!$M$6:$M$49,'Matriz habilidades'!$N$6:$N$49)</f>
        <v>2</v>
      </c>
      <c r="L13" s="34" t="n">
        <f aca="false">SUMPRODUCT('Matriz habilidades'!$M$6:$M$49,'Matriz habilidades'!$O$6:$O$49)</f>
        <v>3</v>
      </c>
      <c r="M13" s="34" t="n">
        <f aca="false">SUMPRODUCT('Matriz habilidades'!$M$6:$M$49,'Matriz habilidades'!$P$6:$P$49)</f>
        <v>1</v>
      </c>
      <c r="N13" s="34" t="n">
        <f aca="false">SUMPRODUCT('Matriz habilidades'!$M$6:$M$49,'Matriz habilidades'!$Q$6:$Q$49)</f>
        <v>0</v>
      </c>
      <c r="O13" s="34" t="n">
        <f aca="false">SUMPRODUCT('Matriz habilidades'!$M$6:$M$49,'Matriz habilidades'!$R$6:$R$49)</f>
        <v>2</v>
      </c>
    </row>
    <row r="14" customFormat="false" ht="15" hidden="false" customHeight="false" outlineLevel="0" collapsed="false">
      <c r="B14" s="29" t="s">
        <v>54</v>
      </c>
      <c r="C14" s="34" t="n">
        <f aca="false">SUMPRODUCT('Matriz habilidades'!$N$6:$N$49,'Matriz habilidades'!$F$6:$F$49)</f>
        <v>2</v>
      </c>
      <c r="D14" s="34" t="n">
        <f aca="false">SUMPRODUCT('Matriz habilidades'!$N$6:$N$49,'Matriz habilidades'!$G$6:$G$49)</f>
        <v>1</v>
      </c>
      <c r="E14" s="34" t="n">
        <f aca="false">SUMPRODUCT('Matriz habilidades'!$N$6:$N$49,'Matriz habilidades'!$H$6:$H$49)</f>
        <v>1</v>
      </c>
      <c r="F14" s="34" t="n">
        <f aca="false">SUMPRODUCT('Matriz habilidades'!$N$6:$N$49,'Matriz habilidades'!$I$6:$I$49)</f>
        <v>1</v>
      </c>
      <c r="G14" s="34" t="n">
        <f aca="false">SUMPRODUCT('Matriz habilidades'!$N$6:$N$49,'Matriz habilidades'!$J$6:$J$49)</f>
        <v>3</v>
      </c>
      <c r="H14" s="34" t="n">
        <f aca="false">SUMPRODUCT('Matriz habilidades'!$N$6:$N$49,'Matriz habilidades'!$K$6:$K$49)</f>
        <v>1</v>
      </c>
      <c r="I14" s="34" t="n">
        <f aca="false">SUMPRODUCT('Matriz habilidades'!$N$6:$N$49,'Matriz habilidades'!$L$6:$L$49)</f>
        <v>1</v>
      </c>
      <c r="J14" s="34" t="n">
        <f aca="false">SUMPRODUCT('Matriz habilidades'!$N$6:$N$49,'Matriz habilidades'!$M$6:$M$49)</f>
        <v>2</v>
      </c>
      <c r="K14" s="33" t="s">
        <v>220</v>
      </c>
      <c r="L14" s="34" t="n">
        <f aca="false">SUMPRODUCT('Matriz habilidades'!$N$6:$N$49,'Matriz habilidades'!$O$6:$O$49)</f>
        <v>1</v>
      </c>
      <c r="M14" s="34" t="n">
        <f aca="false">SUMPRODUCT('Matriz habilidades'!$N$6:$N$49,'Matriz habilidades'!$P$6:$P$49)</f>
        <v>0</v>
      </c>
      <c r="N14" s="34" t="n">
        <f aca="false">SUMPRODUCT('Matriz habilidades'!$N$6:$N$49,'Matriz habilidades'!$Q$6:$Q$49)</f>
        <v>2</v>
      </c>
      <c r="O14" s="34" t="n">
        <f aca="false">SUMPRODUCT('Matriz habilidades'!$N$6:$N$49,'Matriz habilidades'!$R$6:$R$49)</f>
        <v>2</v>
      </c>
    </row>
    <row r="15" customFormat="false" ht="15" hidden="false" customHeight="false" outlineLevel="0" collapsed="false">
      <c r="B15" s="29" t="s">
        <v>61</v>
      </c>
      <c r="C15" s="34" t="n">
        <f aca="false">SUMPRODUCT('Matriz habilidades'!$O$6:$O$49,'Matriz habilidades'!$F$6:$F$49)</f>
        <v>0</v>
      </c>
      <c r="D15" s="34" t="n">
        <f aca="false">SUMPRODUCT('Matriz habilidades'!$O$6:$O$49,'Matriz habilidades'!$G$6:$G$49)</f>
        <v>0</v>
      </c>
      <c r="E15" s="34" t="n">
        <f aca="false">SUMPRODUCT('Matriz habilidades'!$O$6:$O$49,'Matriz habilidades'!$H$6:$H$49)</f>
        <v>2</v>
      </c>
      <c r="F15" s="34" t="n">
        <f aca="false">SUMPRODUCT('Matriz habilidades'!$O$6:$O$49,'Matriz habilidades'!$I$6:$I$49)</f>
        <v>1</v>
      </c>
      <c r="G15" s="34" t="n">
        <f aca="false">SUMPRODUCT('Matriz habilidades'!$O$6:$O$49,'Matriz habilidades'!$J$6:$J$49)</f>
        <v>2</v>
      </c>
      <c r="H15" s="34" t="n">
        <f aca="false">SUMPRODUCT('Matriz habilidades'!$O$6:$O$49,'Matriz habilidades'!$K$6:$K$49)</f>
        <v>1</v>
      </c>
      <c r="I15" s="34" t="n">
        <f aca="false">SUMPRODUCT('Matriz habilidades'!$O$6:$O$49,'Matriz habilidades'!$L$6:$L$49)</f>
        <v>0</v>
      </c>
      <c r="J15" s="34" t="n">
        <f aca="false">SUMPRODUCT('Matriz habilidades'!$O$6:$O$49,'Matriz habilidades'!$M$6:$M$49)</f>
        <v>3</v>
      </c>
      <c r="K15" s="34" t="n">
        <f aca="false">SUMPRODUCT('Matriz habilidades'!$O$6:$O$49,'Matriz habilidades'!$N$6:$N$49)</f>
        <v>1</v>
      </c>
      <c r="L15" s="33" t="s">
        <v>220</v>
      </c>
      <c r="M15" s="34" t="n">
        <f aca="false">SUMPRODUCT('Matriz habilidades'!$O$6:$O$49,'Matriz habilidades'!$P$6:$P$49)</f>
        <v>0</v>
      </c>
      <c r="N15" s="34" t="n">
        <f aca="false">SUMPRODUCT('Matriz habilidades'!$O$6:$O$49,'Matriz habilidades'!$Q$6:$Q$49)</f>
        <v>0</v>
      </c>
      <c r="O15" s="34" t="n">
        <f aca="false">SUMPRODUCT('Matriz habilidades'!$O$6:$O$49,'Matriz habilidades'!$R$6:$R$49)</f>
        <v>2</v>
      </c>
    </row>
    <row r="16" customFormat="false" ht="15" hidden="false" customHeight="false" outlineLevel="0" collapsed="false">
      <c r="B16" s="29" t="s">
        <v>57</v>
      </c>
      <c r="C16" s="34" t="n">
        <f aca="false">SUMPRODUCT('Matriz habilidades'!$P$6:$P$49,'Matriz habilidades'!$F$6:$F$49)</f>
        <v>1</v>
      </c>
      <c r="D16" s="34" t="n">
        <f aca="false">SUMPRODUCT('Matriz habilidades'!$P$6:$P$49,'Matriz habilidades'!$G$6:$G$49)</f>
        <v>2</v>
      </c>
      <c r="E16" s="34" t="n">
        <f aca="false">SUMPRODUCT('Matriz habilidades'!$P$6:$P$49,'Matriz habilidades'!$H$6:$H$49)</f>
        <v>0</v>
      </c>
      <c r="F16" s="34" t="n">
        <f aca="false">SUMPRODUCT('Matriz habilidades'!$P$6:$P$49,'Matriz habilidades'!$I$6:$I$49)</f>
        <v>2</v>
      </c>
      <c r="G16" s="34" t="n">
        <f aca="false">SUMPRODUCT('Matriz habilidades'!$P$6:$P$49,'Matriz habilidades'!$J$6:$J$49)</f>
        <v>0</v>
      </c>
      <c r="H16" s="34" t="n">
        <f aca="false">SUMPRODUCT('Matriz habilidades'!$P$6:$P$49,'Matriz habilidades'!$K$6:$K$49)</f>
        <v>0</v>
      </c>
      <c r="I16" s="34" t="n">
        <f aca="false">SUMPRODUCT('Matriz habilidades'!$P$6:$P$49,'Matriz habilidades'!$L$6:$L$49)</f>
        <v>2</v>
      </c>
      <c r="J16" s="34" t="n">
        <f aca="false">SUMPRODUCT('Matriz habilidades'!$P$6:$P$49,'Matriz habilidades'!$M$6:$M$49)</f>
        <v>1</v>
      </c>
      <c r="K16" s="34" t="n">
        <f aca="false">SUMPRODUCT('Matriz habilidades'!$P$6:$P$49,'Matriz habilidades'!$N$6:$N$49)</f>
        <v>0</v>
      </c>
      <c r="L16" s="34" t="n">
        <f aca="false">SUMPRODUCT('Matriz habilidades'!$P$6:$P$49,'Matriz habilidades'!$O$6:$O$49)</f>
        <v>0</v>
      </c>
      <c r="M16" s="33" t="s">
        <v>220</v>
      </c>
      <c r="N16" s="34" t="n">
        <f aca="false">SUMPRODUCT('Matriz habilidades'!$P$6:$P$49,'Matriz habilidades'!$Q$6:$Q$49)</f>
        <v>1</v>
      </c>
      <c r="O16" s="34" t="n">
        <f aca="false">SUMPRODUCT('Matriz habilidades'!$P$6:$P$49,'Matriz habilidades'!$R$6:$R$49)</f>
        <v>1</v>
      </c>
    </row>
    <row r="17" customFormat="false" ht="15" hidden="false" customHeight="false" outlineLevel="0" collapsed="false">
      <c r="B17" s="29" t="s">
        <v>68</v>
      </c>
      <c r="C17" s="34" t="n">
        <f aca="false">SUMPRODUCT('Matriz habilidades'!$Q$6:$Q$49,'Matriz habilidades'!$F$6:$F$49)</f>
        <v>2</v>
      </c>
      <c r="D17" s="34" t="n">
        <f aca="false">SUMPRODUCT('Matriz habilidades'!$Q$6:$Q$49,'Matriz habilidades'!$G$6:$G$49)</f>
        <v>1</v>
      </c>
      <c r="E17" s="34" t="n">
        <f aca="false">SUMPRODUCT('Matriz habilidades'!$Q$6:$Q$49,'Matriz habilidades'!$H$6:$H$49)</f>
        <v>0</v>
      </c>
      <c r="F17" s="34" t="n">
        <f aca="false">SUMPRODUCT('Matriz habilidades'!$Q$6:$Q$49,'Matriz habilidades'!$I$6:$I$49)</f>
        <v>1</v>
      </c>
      <c r="G17" s="34" t="n">
        <f aca="false">SUMPRODUCT('Matriz habilidades'!$Q$6:$Q$49,'Matriz habilidades'!$J$6:$J$49)</f>
        <v>2</v>
      </c>
      <c r="H17" s="34" t="n">
        <f aca="false">SUMPRODUCT('Matriz habilidades'!$Q$6:$Q$49,'Matriz habilidades'!$K$6:$K$49)</f>
        <v>2</v>
      </c>
      <c r="I17" s="34" t="n">
        <f aca="false">SUMPRODUCT('Matriz habilidades'!$Q$6:$Q$49,'Matriz habilidades'!$L$6:$L$49)</f>
        <v>2</v>
      </c>
      <c r="J17" s="34" t="n">
        <f aca="false">SUMPRODUCT('Matriz habilidades'!$Q$6:$Q$49,'Matriz habilidades'!$M$6:$M$49)</f>
        <v>0</v>
      </c>
      <c r="K17" s="34" t="n">
        <f aca="false">SUMPRODUCT('Matriz habilidades'!$Q$6:$Q$49,'Matriz habilidades'!$N$6:$N$49)</f>
        <v>2</v>
      </c>
      <c r="L17" s="34" t="n">
        <f aca="false">SUMPRODUCT('Matriz habilidades'!$Q$6:$Q$49,'Matriz habilidades'!$O$6:$O$49)</f>
        <v>0</v>
      </c>
      <c r="M17" s="34" t="n">
        <f aca="false">SUMPRODUCT('Matriz habilidades'!$Q$6:$Q$49,'Matriz habilidades'!$P$6:$P$49)</f>
        <v>1</v>
      </c>
      <c r="N17" s="33" t="s">
        <v>220</v>
      </c>
      <c r="O17" s="34" t="n">
        <f aca="false">SUMPRODUCT('Matriz habilidades'!$Q$6:$Q$49,'Matriz habilidades'!$R$6:$R$49)</f>
        <v>2</v>
      </c>
    </row>
    <row r="18" customFormat="false" ht="15" hidden="false" customHeight="false" outlineLevel="0" collapsed="false">
      <c r="B18" s="29" t="s">
        <v>64</v>
      </c>
      <c r="C18" s="34" t="n">
        <f aca="false">SUMPRODUCT('Matriz habilidades'!$R$6:$R$49,'Matriz habilidades'!$F$6:$F$49)</f>
        <v>1</v>
      </c>
      <c r="D18" s="34" t="n">
        <f aca="false">SUMPRODUCT('Matriz habilidades'!$R$6:$R$49,'Matriz habilidades'!$G$6:$G$49)</f>
        <v>0</v>
      </c>
      <c r="E18" s="34" t="n">
        <f aca="false">SUMPRODUCT('Matriz habilidades'!$R$6:$R$49,'Matriz habilidades'!$H$6:$H$49)</f>
        <v>0</v>
      </c>
      <c r="F18" s="34" t="n">
        <f aca="false">SUMPRODUCT('Matriz habilidades'!$R$6:$R$49,'Matriz habilidades'!$I$6:$I$49)</f>
        <v>2</v>
      </c>
      <c r="G18" s="34" t="n">
        <f aca="false">SUMPRODUCT('Matriz habilidades'!$R$6:$R$49,'Matriz habilidades'!$J$6:$J$49)</f>
        <v>4</v>
      </c>
      <c r="H18" s="34" t="n">
        <f aca="false">SUMPRODUCT('Matriz habilidades'!$R$6:$R$49,'Matriz habilidades'!$K$6:$K$49)</f>
        <v>0</v>
      </c>
      <c r="I18" s="34" t="n">
        <f aca="false">SUMPRODUCT('Matriz habilidades'!$R$6:$R$49,'Matriz habilidades'!$L$6:$L$49)</f>
        <v>0</v>
      </c>
      <c r="J18" s="34" t="n">
        <f aca="false">SUMPRODUCT('Matriz habilidades'!$R$6:$R$49,'Matriz habilidades'!$M$6:$M$49)</f>
        <v>2</v>
      </c>
      <c r="K18" s="34" t="n">
        <f aca="false">SUMPRODUCT('Matriz habilidades'!$R$6:$R$49,'Matriz habilidades'!$N$6:$N$49)</f>
        <v>2</v>
      </c>
      <c r="L18" s="34" t="n">
        <f aca="false">SUMPRODUCT('Matriz habilidades'!$R$6:$R$49,'Matriz habilidades'!$O$6:$O$49)</f>
        <v>2</v>
      </c>
      <c r="M18" s="34" t="n">
        <f aca="false">SUMPRODUCT('Matriz habilidades'!$R$6:$R$49,'Matriz habilidades'!$P$6:$P$49)</f>
        <v>1</v>
      </c>
      <c r="N18" s="34" t="n">
        <f aca="false">SUMPRODUCT('Matriz habilidades'!$R$6:$R$49,'Matriz habilidades'!$Q$6:$Q$49)</f>
        <v>2</v>
      </c>
      <c r="O18" s="33" t="s">
        <v>220</v>
      </c>
    </row>
  </sheetData>
  <conditionalFormatting sqref="C6:O18">
    <cfRule type="expression" priority="2" aboveAverage="0" equalAverage="0" bottom="0" percent="0" rank="0" text="" dxfId="1">
      <formula>ROW()-5=COLUMN()-2</formula>
    </cfRule>
    <cfRule type="colorScale" priority="3">
      <colorScale>
        <cfvo type="num" val="0"/>
        <cfvo type="num" val="4"/>
        <color rgb="FFFFFFFF"/>
        <color rgb="FF26A1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48"/>
    <col collapsed="false" customWidth="true" hidden="false" outlineLevel="0" max="8" min="8" style="0" width="56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4" customFormat="false" ht="33.75" hidden="false" customHeight="true" outlineLevel="0" collapsed="false">
      <c r="A4" s="5" t="s">
        <v>44</v>
      </c>
      <c r="B4" s="5" t="s">
        <v>230</v>
      </c>
      <c r="C4" s="5" t="s">
        <v>231</v>
      </c>
      <c r="D4" s="5" t="s">
        <v>232</v>
      </c>
      <c r="E4" s="5" t="s">
        <v>233</v>
      </c>
      <c r="F4" s="5" t="s">
        <v>234</v>
      </c>
      <c r="G4" s="5" t="s">
        <v>235</v>
      </c>
      <c r="H4" s="5" t="s">
        <v>236</v>
      </c>
      <c r="I4" s="5" t="s">
        <v>237</v>
      </c>
    </row>
    <row r="5" customFormat="false" ht="23.85" hidden="false" customHeight="false" outlineLevel="0" collapsed="false">
      <c r="A5" s="35" t="s">
        <v>51</v>
      </c>
      <c r="B5" s="35" t="s">
        <v>238</v>
      </c>
      <c r="C5" s="35" t="s">
        <v>52</v>
      </c>
      <c r="D5" s="36" t="n">
        <f aca="false">INDEX(Proximidad!$C$6:$O$18,MATCH(A5,Proximidad!$B$6:$B$18,0),MATCH(C5,Proximidad!$C$5:$O$5,0))</f>
        <v>0.5</v>
      </c>
      <c r="E5" s="37" t="str">
        <f aca="false">IF(D5&gt;=Supuestos!$B$12,"Cercana",IF(D5&gt;=Supuestos!$B$13,"Media","Lejana"))</f>
        <v>Cercana</v>
      </c>
      <c r="F5" s="38" t="n">
        <f aca="false">INDEX('En común'!$C$6:$O$18,MATCH(A5,'En común'!$B$6:$B$18,0),MATCH(C5,'En común'!$C$5:$O$5,0))</f>
        <v>4</v>
      </c>
      <c r="G5" s="39" t="s">
        <v>56</v>
      </c>
      <c r="H5" s="39" t="s">
        <v>239</v>
      </c>
      <c r="I5" s="35" t="s">
        <v>240</v>
      </c>
    </row>
    <row r="6" customFormat="false" ht="23.85" hidden="false" customHeight="false" outlineLevel="0" collapsed="false">
      <c r="A6" s="40" t="s">
        <v>51</v>
      </c>
      <c r="B6" s="40" t="s">
        <v>241</v>
      </c>
      <c r="C6" s="40" t="s">
        <v>53</v>
      </c>
      <c r="D6" s="41" t="n">
        <f aca="false">INDEX(Proximidad!$C$6:$O$18,MATCH(A6,Proximidad!$B$6:$B$18,0),MATCH(C6,Proximidad!$C$5:$O$5,0))</f>
        <v>0.384615384615385</v>
      </c>
      <c r="E6" s="42" t="str">
        <f aca="false">IF(D6&gt;=Supuestos!$B$12,"Cercana",IF(D6&gt;=Supuestos!$B$13,"Media","Lejana"))</f>
        <v>Media</v>
      </c>
      <c r="F6" s="43" t="n">
        <f aca="false">INDEX('En común'!$C$6:$O$18,MATCH(A6,'En común'!$B$6:$B$18,0),MATCH(C6,'En común'!$C$5:$O$5,0))</f>
        <v>3</v>
      </c>
      <c r="G6" s="44" t="s">
        <v>242</v>
      </c>
      <c r="H6" s="44" t="s">
        <v>243</v>
      </c>
      <c r="I6" s="40" t="s">
        <v>240</v>
      </c>
    </row>
    <row r="7" customFormat="false" ht="35.05" hidden="false" customHeight="false" outlineLevel="0" collapsed="false">
      <c r="A7" s="40" t="s">
        <v>51</v>
      </c>
      <c r="B7" s="40" t="s">
        <v>244</v>
      </c>
      <c r="C7" s="40" t="s">
        <v>54</v>
      </c>
      <c r="D7" s="41" t="n">
        <f aca="false">INDEX(Proximidad!$C$6:$O$18,MATCH(A7,Proximidad!$B$6:$B$18,0),MATCH(C7,Proximidad!$C$5:$O$5,0))</f>
        <v>0.25</v>
      </c>
      <c r="E7" s="42" t="str">
        <f aca="false">IF(D7&gt;=Supuestos!$B$12,"Cercana",IF(D7&gt;=Supuestos!$B$13,"Media","Lejana"))</f>
        <v>Media</v>
      </c>
      <c r="F7" s="43" t="n">
        <f aca="false">INDEX('En común'!$C$6:$O$18,MATCH(A7,'En común'!$B$6:$B$18,0),MATCH(C7,'En común'!$C$5:$O$5,0))</f>
        <v>2</v>
      </c>
      <c r="G7" s="44" t="s">
        <v>245</v>
      </c>
      <c r="H7" s="44" t="s">
        <v>246</v>
      </c>
      <c r="I7" s="40" t="s">
        <v>240</v>
      </c>
    </row>
    <row r="8" customFormat="false" ht="35.05" hidden="false" customHeight="false" outlineLevel="0" collapsed="false">
      <c r="A8" s="40" t="s">
        <v>51</v>
      </c>
      <c r="B8" s="40" t="s">
        <v>247</v>
      </c>
      <c r="C8" s="40" t="s">
        <v>68</v>
      </c>
      <c r="D8" s="41" t="n">
        <f aca="false">INDEX(Proximidad!$C$6:$O$18,MATCH(A8,Proximidad!$B$6:$B$18,0),MATCH(C8,Proximidad!$C$5:$O$5,0))</f>
        <v>0.166666666666667</v>
      </c>
      <c r="E8" s="42" t="str">
        <f aca="false">IF(D8&gt;=Supuestos!$B$12,"Cercana",IF(D8&gt;=Supuestos!$B$13,"Media","Lejana"))</f>
        <v>Lejana</v>
      </c>
      <c r="F8" s="43" t="n">
        <f aca="false">INDEX('En común'!$C$6:$O$18,MATCH(A8,'En común'!$B$6:$B$18,0),MATCH(C8,'En común'!$C$5:$O$5,0))</f>
        <v>2</v>
      </c>
      <c r="G8" s="44" t="s">
        <v>248</v>
      </c>
      <c r="H8" s="44" t="s">
        <v>249</v>
      </c>
      <c r="I8" s="40" t="s">
        <v>250</v>
      </c>
    </row>
    <row r="9" customFormat="false" ht="46.25" hidden="false" customHeight="false" outlineLevel="0" collapsed="false">
      <c r="A9" s="40" t="s">
        <v>51</v>
      </c>
      <c r="B9" s="40" t="s">
        <v>251</v>
      </c>
      <c r="C9" s="40" t="s">
        <v>64</v>
      </c>
      <c r="D9" s="41" t="n">
        <f aca="false">INDEX(Proximidad!$C$6:$O$18,MATCH(A9,Proximidad!$B$6:$B$18,0),MATCH(C9,Proximidad!$C$5:$O$5,0))</f>
        <v>0.0833333333333333</v>
      </c>
      <c r="E9" s="42" t="str">
        <f aca="false">IF(D9&gt;=Supuestos!$B$12,"Cercana",IF(D9&gt;=Supuestos!$B$13,"Media","Lejana"))</f>
        <v>Lejana</v>
      </c>
      <c r="F9" s="43" t="n">
        <f aca="false">INDEX('En común'!$C$6:$O$18,MATCH(A9,'En común'!$B$6:$B$18,0),MATCH(C9,'En común'!$C$5:$O$5,0))</f>
        <v>1</v>
      </c>
      <c r="G9" s="44" t="s">
        <v>170</v>
      </c>
      <c r="H9" s="44" t="s">
        <v>252</v>
      </c>
      <c r="I9" s="40" t="s">
        <v>250</v>
      </c>
    </row>
    <row r="10" customFormat="false" ht="46.25" hidden="false" customHeight="false" outlineLevel="0" collapsed="false">
      <c r="A10" s="40" t="s">
        <v>51</v>
      </c>
      <c r="B10" s="40" t="s">
        <v>253</v>
      </c>
      <c r="C10" s="40" t="s">
        <v>58</v>
      </c>
      <c r="D10" s="41" t="n">
        <f aca="false">INDEX(Proximidad!$C$6:$O$18,MATCH(A10,Proximidad!$B$6:$B$18,0),MATCH(C10,Proximidad!$C$5:$O$5,0))</f>
        <v>0.0833333333333333</v>
      </c>
      <c r="E10" s="42" t="str">
        <f aca="false">IF(D10&gt;=Supuestos!$B$12,"Cercana",IF(D10&gt;=Supuestos!$B$13,"Media","Lejana"))</f>
        <v>Lejana</v>
      </c>
      <c r="F10" s="43" t="n">
        <f aca="false">INDEX('En común'!$C$6:$O$18,MATCH(A10,'En común'!$B$6:$B$18,0),MATCH(C10,'En común'!$C$5:$O$5,0))</f>
        <v>1</v>
      </c>
      <c r="G10" s="44" t="s">
        <v>170</v>
      </c>
      <c r="H10" s="44" t="s">
        <v>254</v>
      </c>
      <c r="I10" s="40" t="s">
        <v>250</v>
      </c>
    </row>
    <row r="11" customFormat="false" ht="35.05" hidden="false" customHeight="false" outlineLevel="0" collapsed="false">
      <c r="A11" s="40" t="s">
        <v>51</v>
      </c>
      <c r="B11" s="40" t="s">
        <v>255</v>
      </c>
      <c r="C11" s="40" t="s">
        <v>57</v>
      </c>
      <c r="D11" s="41" t="n">
        <f aca="false">INDEX(Proximidad!$C$6:$O$18,MATCH(A11,Proximidad!$B$6:$B$18,0),MATCH(C11,Proximidad!$C$5:$O$5,0))</f>
        <v>0.0714285714285714</v>
      </c>
      <c r="E11" s="42" t="str">
        <f aca="false">IF(D11&gt;=Supuestos!$B$12,"Cercana",IF(D11&gt;=Supuestos!$B$13,"Media","Lejana"))</f>
        <v>Lejana</v>
      </c>
      <c r="F11" s="43" t="n">
        <f aca="false">INDEX('En común'!$C$6:$O$18,MATCH(A11,'En común'!$B$6:$B$18,0),MATCH(C11,'En común'!$C$5:$O$5,0))</f>
        <v>1</v>
      </c>
      <c r="G11" s="44" t="s">
        <v>176</v>
      </c>
      <c r="H11" s="44" t="s">
        <v>256</v>
      </c>
      <c r="I11" s="40" t="s">
        <v>240</v>
      </c>
    </row>
    <row r="12" customFormat="false" ht="46.25" hidden="false" customHeight="false" outlineLevel="0" collapsed="false">
      <c r="A12" s="40" t="s">
        <v>51</v>
      </c>
      <c r="B12" s="40" t="s">
        <v>257</v>
      </c>
      <c r="C12" s="40" t="s">
        <v>63</v>
      </c>
      <c r="D12" s="41" t="n">
        <f aca="false">INDEX(Proximidad!$C$6:$O$18,MATCH(A12,Proximidad!$B$6:$B$18,0),MATCH(C12,Proximidad!$C$5:$O$5,0))</f>
        <v>0</v>
      </c>
      <c r="E12" s="42" t="str">
        <f aca="false">IF(D12&gt;=Supuestos!$B$12,"Cercana",IF(D12&gt;=Supuestos!$B$13,"Media","Lejana"))</f>
        <v>Lejana</v>
      </c>
      <c r="F12" s="43" t="n">
        <f aca="false">INDEX('En común'!$C$6:$O$18,MATCH(A12,'En común'!$B$6:$B$18,0),MATCH(C12,'En común'!$C$5:$O$5,0))</f>
        <v>0</v>
      </c>
      <c r="G12" s="44" t="s">
        <v>220</v>
      </c>
      <c r="H12" s="44" t="s">
        <v>258</v>
      </c>
      <c r="I12" s="40" t="s">
        <v>250</v>
      </c>
    </row>
    <row r="13" customFormat="false" ht="46.25" hidden="false" customHeight="false" outlineLevel="0" collapsed="false">
      <c r="A13" s="40" t="s">
        <v>51</v>
      </c>
      <c r="B13" s="40" t="s">
        <v>259</v>
      </c>
      <c r="C13" s="40" t="s">
        <v>60</v>
      </c>
      <c r="D13" s="41" t="n">
        <f aca="false">INDEX(Proximidad!$C$6:$O$18,MATCH(A13,Proximidad!$B$6:$B$18,0),MATCH(C13,Proximidad!$C$5:$O$5,0))</f>
        <v>0</v>
      </c>
      <c r="E13" s="42" t="str">
        <f aca="false">IF(D13&gt;=Supuestos!$B$12,"Cercana",IF(D13&gt;=Supuestos!$B$13,"Media","Lejana"))</f>
        <v>Lejana</v>
      </c>
      <c r="F13" s="43" t="n">
        <f aca="false">INDEX('En común'!$C$6:$O$18,MATCH(A13,'En común'!$B$6:$B$18,0),MATCH(C13,'En común'!$C$5:$O$5,0))</f>
        <v>0</v>
      </c>
      <c r="G13" s="44" t="s">
        <v>220</v>
      </c>
      <c r="H13" s="44" t="s">
        <v>260</v>
      </c>
      <c r="I13" s="40" t="s">
        <v>240</v>
      </c>
    </row>
    <row r="14" customFormat="false" ht="46.25" hidden="false" customHeight="false" outlineLevel="0" collapsed="false">
      <c r="A14" s="40" t="s">
        <v>51</v>
      </c>
      <c r="B14" s="40" t="s">
        <v>261</v>
      </c>
      <c r="C14" s="40" t="s">
        <v>67</v>
      </c>
      <c r="D14" s="41" t="n">
        <f aca="false">INDEX(Proximidad!$C$6:$O$18,MATCH(A14,Proximidad!$B$6:$B$18,0),MATCH(C14,Proximidad!$C$5:$O$5,0))</f>
        <v>0</v>
      </c>
      <c r="E14" s="42" t="str">
        <f aca="false">IF(D14&gt;=Supuestos!$B$12,"Cercana",IF(D14&gt;=Supuestos!$B$13,"Media","Lejana"))</f>
        <v>Lejana</v>
      </c>
      <c r="F14" s="43" t="n">
        <f aca="false">INDEX('En común'!$C$6:$O$18,MATCH(A14,'En común'!$B$6:$B$18,0),MATCH(C14,'En común'!$C$5:$O$5,0))</f>
        <v>0</v>
      </c>
      <c r="G14" s="44" t="s">
        <v>220</v>
      </c>
      <c r="H14" s="44" t="s">
        <v>262</v>
      </c>
      <c r="I14" s="40" t="s">
        <v>240</v>
      </c>
    </row>
    <row r="15" customFormat="false" ht="46.25" hidden="false" customHeight="false" outlineLevel="0" collapsed="false">
      <c r="A15" s="40" t="s">
        <v>51</v>
      </c>
      <c r="B15" s="40" t="s">
        <v>263</v>
      </c>
      <c r="C15" s="40" t="s">
        <v>61</v>
      </c>
      <c r="D15" s="41" t="n">
        <f aca="false">INDEX(Proximidad!$C$6:$O$18,MATCH(A15,Proximidad!$B$6:$B$18,0),MATCH(C15,Proximidad!$C$5:$O$5,0))</f>
        <v>0</v>
      </c>
      <c r="E15" s="42" t="str">
        <f aca="false">IF(D15&gt;=Supuestos!$B$12,"Cercana",IF(D15&gt;=Supuestos!$B$13,"Media","Lejana"))</f>
        <v>Lejana</v>
      </c>
      <c r="F15" s="43" t="n">
        <f aca="false">INDEX('En común'!$C$6:$O$18,MATCH(A15,'En común'!$B$6:$B$18,0),MATCH(C15,'En común'!$C$5:$O$5,0))</f>
        <v>0</v>
      </c>
      <c r="G15" s="44" t="s">
        <v>220</v>
      </c>
      <c r="H15" s="44" t="s">
        <v>264</v>
      </c>
      <c r="I15" s="40" t="s">
        <v>250</v>
      </c>
    </row>
    <row r="16" customFormat="false" ht="46.25" hidden="false" customHeight="false" outlineLevel="0" collapsed="false">
      <c r="A16" s="40" t="s">
        <v>51</v>
      </c>
      <c r="B16" s="40" t="s">
        <v>265</v>
      </c>
      <c r="C16" s="40" t="s">
        <v>55</v>
      </c>
      <c r="D16" s="41" t="n">
        <f aca="false">INDEX(Proximidad!$C$6:$O$18,MATCH(A16,Proximidad!$B$6:$B$18,0),MATCH(C16,Proximidad!$C$5:$O$5,0))</f>
        <v>0</v>
      </c>
      <c r="E16" s="42" t="str">
        <f aca="false">IF(D16&gt;=Supuestos!$B$12,"Cercana",IF(D16&gt;=Supuestos!$B$13,"Media","Lejana"))</f>
        <v>Lejana</v>
      </c>
      <c r="F16" s="43" t="n">
        <f aca="false">INDEX('En común'!$C$6:$O$18,MATCH(A16,'En común'!$B$6:$B$18,0),MATCH(C16,'En común'!$C$5:$O$5,0))</f>
        <v>0</v>
      </c>
      <c r="G16" s="44" t="s">
        <v>220</v>
      </c>
      <c r="H16" s="44" t="s">
        <v>266</v>
      </c>
      <c r="I16" s="40" t="s">
        <v>240</v>
      </c>
    </row>
    <row r="17" customFormat="false" ht="23.85" hidden="false" customHeight="false" outlineLevel="0" collapsed="false">
      <c r="A17" s="35" t="s">
        <v>52</v>
      </c>
      <c r="B17" s="35" t="s">
        <v>238</v>
      </c>
      <c r="C17" s="35" t="s">
        <v>51</v>
      </c>
      <c r="D17" s="36" t="n">
        <f aca="false">INDEX(Proximidad!$C$6:$O$18,MATCH(A17,Proximidad!$B$6:$B$18,0),MATCH(C17,Proximidad!$C$5:$O$5,0))</f>
        <v>0.538461538461538</v>
      </c>
      <c r="E17" s="37" t="str">
        <f aca="false">IF(D17&gt;=Supuestos!$B$12,"Cercana",IF(D17&gt;=Supuestos!$B$13,"Media","Lejana"))</f>
        <v>Cercana</v>
      </c>
      <c r="F17" s="38" t="n">
        <f aca="false">INDEX('En común'!$C$6:$O$18,MATCH(A17,'En común'!$B$6:$B$18,0),MATCH(C17,'En común'!$C$5:$O$5,0))</f>
        <v>4</v>
      </c>
      <c r="G17" s="39" t="s">
        <v>59</v>
      </c>
      <c r="H17" s="39" t="s">
        <v>267</v>
      </c>
      <c r="I17" s="35" t="s">
        <v>268</v>
      </c>
    </row>
    <row r="18" customFormat="false" ht="23.85" hidden="false" customHeight="false" outlineLevel="0" collapsed="false">
      <c r="A18" s="40" t="s">
        <v>52</v>
      </c>
      <c r="B18" s="40" t="s">
        <v>241</v>
      </c>
      <c r="C18" s="40" t="s">
        <v>53</v>
      </c>
      <c r="D18" s="41" t="n">
        <f aca="false">INDEX(Proximidad!$C$6:$O$18,MATCH(A18,Proximidad!$B$6:$B$18,0),MATCH(C18,Proximidad!$C$5:$O$5,0))</f>
        <v>0.384615384615385</v>
      </c>
      <c r="E18" s="42" t="str">
        <f aca="false">IF(D18&gt;=Supuestos!$B$12,"Cercana",IF(D18&gt;=Supuestos!$B$13,"Media","Lejana"))</f>
        <v>Media</v>
      </c>
      <c r="F18" s="43" t="n">
        <f aca="false">INDEX('En común'!$C$6:$O$18,MATCH(A18,'En común'!$B$6:$B$18,0),MATCH(C18,'En común'!$C$5:$O$5,0))</f>
        <v>3</v>
      </c>
      <c r="G18" s="44" t="s">
        <v>242</v>
      </c>
      <c r="H18" s="44" t="s">
        <v>243</v>
      </c>
      <c r="I18" s="40" t="s">
        <v>240</v>
      </c>
    </row>
    <row r="19" customFormat="false" ht="35.05" hidden="false" customHeight="false" outlineLevel="0" collapsed="false">
      <c r="A19" s="40" t="s">
        <v>52</v>
      </c>
      <c r="B19" s="40" t="s">
        <v>244</v>
      </c>
      <c r="C19" s="40" t="s">
        <v>57</v>
      </c>
      <c r="D19" s="41" t="n">
        <f aca="false">INDEX(Proximidad!$C$6:$O$18,MATCH(A19,Proximidad!$B$6:$B$18,0),MATCH(C19,Proximidad!$C$5:$O$5,0))</f>
        <v>0.285714285714286</v>
      </c>
      <c r="E19" s="42" t="str">
        <f aca="false">IF(D19&gt;=Supuestos!$B$12,"Cercana",IF(D19&gt;=Supuestos!$B$13,"Media","Lejana"))</f>
        <v>Media</v>
      </c>
      <c r="F19" s="43" t="n">
        <f aca="false">INDEX('En común'!$C$6:$O$18,MATCH(A19,'En común'!$B$6:$B$18,0),MATCH(C19,'En común'!$C$5:$O$5,0))</f>
        <v>2</v>
      </c>
      <c r="G19" s="44" t="s">
        <v>269</v>
      </c>
      <c r="H19" s="44" t="s">
        <v>270</v>
      </c>
      <c r="I19" s="40" t="s">
        <v>240</v>
      </c>
    </row>
    <row r="20" customFormat="false" ht="35.05" hidden="false" customHeight="false" outlineLevel="0" collapsed="false">
      <c r="A20" s="40" t="s">
        <v>52</v>
      </c>
      <c r="B20" s="40" t="s">
        <v>247</v>
      </c>
      <c r="C20" s="40" t="s">
        <v>54</v>
      </c>
      <c r="D20" s="41" t="n">
        <f aca="false">INDEX(Proximidad!$C$6:$O$18,MATCH(A20,Proximidad!$B$6:$B$18,0),MATCH(C20,Proximidad!$C$5:$O$5,0))</f>
        <v>0.166666666666667</v>
      </c>
      <c r="E20" s="42" t="str">
        <f aca="false">IF(D20&gt;=Supuestos!$B$12,"Cercana",IF(D20&gt;=Supuestos!$B$13,"Media","Lejana"))</f>
        <v>Lejana</v>
      </c>
      <c r="F20" s="43" t="n">
        <f aca="false">INDEX('En común'!$C$6:$O$18,MATCH(A20,'En común'!$B$6:$B$18,0),MATCH(C20,'En común'!$C$5:$O$5,0))</f>
        <v>1</v>
      </c>
      <c r="G20" s="44" t="s">
        <v>107</v>
      </c>
      <c r="H20" s="44" t="s">
        <v>271</v>
      </c>
      <c r="I20" s="40" t="s">
        <v>240</v>
      </c>
    </row>
    <row r="21" customFormat="false" ht="46.25" hidden="false" customHeight="false" outlineLevel="0" collapsed="false">
      <c r="A21" s="40" t="s">
        <v>52</v>
      </c>
      <c r="B21" s="40" t="s">
        <v>251</v>
      </c>
      <c r="C21" s="40" t="s">
        <v>55</v>
      </c>
      <c r="D21" s="41" t="n">
        <f aca="false">INDEX(Proximidad!$C$6:$O$18,MATCH(A21,Proximidad!$B$6:$B$18,0),MATCH(C21,Proximidad!$C$5:$O$5,0))</f>
        <v>0.153846153846154</v>
      </c>
      <c r="E21" s="42" t="str">
        <f aca="false">IF(D21&gt;=Supuestos!$B$12,"Cercana",IF(D21&gt;=Supuestos!$B$13,"Media","Lejana"))</f>
        <v>Lejana</v>
      </c>
      <c r="F21" s="43" t="n">
        <f aca="false">INDEX('En común'!$C$6:$O$18,MATCH(A21,'En común'!$B$6:$B$18,0),MATCH(C21,'En común'!$C$5:$O$5,0))</f>
        <v>1</v>
      </c>
      <c r="G21" s="44" t="s">
        <v>158</v>
      </c>
      <c r="H21" s="44" t="s">
        <v>272</v>
      </c>
      <c r="I21" s="40" t="s">
        <v>240</v>
      </c>
    </row>
    <row r="22" customFormat="false" ht="35.05" hidden="false" customHeight="false" outlineLevel="0" collapsed="false">
      <c r="A22" s="40" t="s">
        <v>52</v>
      </c>
      <c r="B22" s="40" t="s">
        <v>253</v>
      </c>
      <c r="C22" s="40" t="s">
        <v>68</v>
      </c>
      <c r="D22" s="41" t="n">
        <f aca="false">INDEX(Proximidad!$C$6:$O$18,MATCH(A22,Proximidad!$B$6:$B$18,0),MATCH(C22,Proximidad!$C$5:$O$5,0))</f>
        <v>0.0833333333333333</v>
      </c>
      <c r="E22" s="42" t="str">
        <f aca="false">IF(D22&gt;=Supuestos!$B$12,"Cercana",IF(D22&gt;=Supuestos!$B$13,"Media","Lejana"))</f>
        <v>Lejana</v>
      </c>
      <c r="F22" s="43" t="n">
        <f aca="false">INDEX('En común'!$C$6:$O$18,MATCH(A22,'En común'!$B$6:$B$18,0),MATCH(C22,'En común'!$C$5:$O$5,0))</f>
        <v>1</v>
      </c>
      <c r="G22" s="44" t="s">
        <v>176</v>
      </c>
      <c r="H22" s="44" t="s">
        <v>273</v>
      </c>
      <c r="I22" s="40" t="s">
        <v>250</v>
      </c>
    </row>
    <row r="23" customFormat="false" ht="46.25" hidden="false" customHeight="false" outlineLevel="0" collapsed="false">
      <c r="A23" s="40" t="s">
        <v>52</v>
      </c>
      <c r="B23" s="40" t="s">
        <v>255</v>
      </c>
      <c r="C23" s="40" t="s">
        <v>63</v>
      </c>
      <c r="D23" s="41" t="n">
        <f aca="false">INDEX(Proximidad!$C$6:$O$18,MATCH(A23,Proximidad!$B$6:$B$18,0),MATCH(C23,Proximidad!$C$5:$O$5,0))</f>
        <v>0</v>
      </c>
      <c r="E23" s="42" t="str">
        <f aca="false">IF(D23&gt;=Supuestos!$B$12,"Cercana",IF(D23&gt;=Supuestos!$B$13,"Media","Lejana"))</f>
        <v>Lejana</v>
      </c>
      <c r="F23" s="43" t="n">
        <f aca="false">INDEX('En común'!$C$6:$O$18,MATCH(A23,'En común'!$B$6:$B$18,0),MATCH(C23,'En común'!$C$5:$O$5,0))</f>
        <v>0</v>
      </c>
      <c r="G23" s="44" t="s">
        <v>220</v>
      </c>
      <c r="H23" s="44" t="s">
        <v>258</v>
      </c>
      <c r="I23" s="40" t="s">
        <v>250</v>
      </c>
    </row>
    <row r="24" customFormat="false" ht="46.25" hidden="false" customHeight="false" outlineLevel="0" collapsed="false">
      <c r="A24" s="40" t="s">
        <v>52</v>
      </c>
      <c r="B24" s="40" t="s">
        <v>257</v>
      </c>
      <c r="C24" s="40" t="s">
        <v>60</v>
      </c>
      <c r="D24" s="41" t="n">
        <f aca="false">INDEX(Proximidad!$C$6:$O$18,MATCH(A24,Proximidad!$B$6:$B$18,0),MATCH(C24,Proximidad!$C$5:$O$5,0))</f>
        <v>0</v>
      </c>
      <c r="E24" s="42" t="str">
        <f aca="false">IF(D24&gt;=Supuestos!$B$12,"Cercana",IF(D24&gt;=Supuestos!$B$13,"Media","Lejana"))</f>
        <v>Lejana</v>
      </c>
      <c r="F24" s="43" t="n">
        <f aca="false">INDEX('En común'!$C$6:$O$18,MATCH(A24,'En común'!$B$6:$B$18,0),MATCH(C24,'En común'!$C$5:$O$5,0))</f>
        <v>0</v>
      </c>
      <c r="G24" s="44" t="s">
        <v>220</v>
      </c>
      <c r="H24" s="44" t="s">
        <v>260</v>
      </c>
      <c r="I24" s="40" t="s">
        <v>240</v>
      </c>
    </row>
    <row r="25" customFormat="false" ht="46.25" hidden="false" customHeight="false" outlineLevel="0" collapsed="false">
      <c r="A25" s="40" t="s">
        <v>52</v>
      </c>
      <c r="B25" s="40" t="s">
        <v>259</v>
      </c>
      <c r="C25" s="40" t="s">
        <v>67</v>
      </c>
      <c r="D25" s="41" t="n">
        <f aca="false">INDEX(Proximidad!$C$6:$O$18,MATCH(A25,Proximidad!$B$6:$B$18,0),MATCH(C25,Proximidad!$C$5:$O$5,0))</f>
        <v>0</v>
      </c>
      <c r="E25" s="42" t="str">
        <f aca="false">IF(D25&gt;=Supuestos!$B$12,"Cercana",IF(D25&gt;=Supuestos!$B$13,"Media","Lejana"))</f>
        <v>Lejana</v>
      </c>
      <c r="F25" s="43" t="n">
        <f aca="false">INDEX('En común'!$C$6:$O$18,MATCH(A25,'En común'!$B$6:$B$18,0),MATCH(C25,'En común'!$C$5:$O$5,0))</f>
        <v>0</v>
      </c>
      <c r="G25" s="44" t="s">
        <v>220</v>
      </c>
      <c r="H25" s="44" t="s">
        <v>262</v>
      </c>
      <c r="I25" s="40" t="s">
        <v>240</v>
      </c>
    </row>
    <row r="26" customFormat="false" ht="46.25" hidden="false" customHeight="false" outlineLevel="0" collapsed="false">
      <c r="A26" s="40" t="s">
        <v>52</v>
      </c>
      <c r="B26" s="40" t="s">
        <v>261</v>
      </c>
      <c r="C26" s="40" t="s">
        <v>64</v>
      </c>
      <c r="D26" s="41" t="n">
        <f aca="false">INDEX(Proximidad!$C$6:$O$18,MATCH(A26,Proximidad!$B$6:$B$18,0),MATCH(C26,Proximidad!$C$5:$O$5,0))</f>
        <v>0</v>
      </c>
      <c r="E26" s="42" t="str">
        <f aca="false">IF(D26&gt;=Supuestos!$B$12,"Cercana",IF(D26&gt;=Supuestos!$B$13,"Media","Lejana"))</f>
        <v>Lejana</v>
      </c>
      <c r="F26" s="43" t="n">
        <f aca="false">INDEX('En común'!$C$6:$O$18,MATCH(A26,'En común'!$B$6:$B$18,0),MATCH(C26,'En común'!$C$5:$O$5,0))</f>
        <v>0</v>
      </c>
      <c r="G26" s="44" t="s">
        <v>220</v>
      </c>
      <c r="H26" s="44" t="s">
        <v>274</v>
      </c>
      <c r="I26" s="40" t="s">
        <v>250</v>
      </c>
    </row>
    <row r="27" customFormat="false" ht="46.25" hidden="false" customHeight="false" outlineLevel="0" collapsed="false">
      <c r="A27" s="40" t="s">
        <v>52</v>
      </c>
      <c r="B27" s="40" t="s">
        <v>263</v>
      </c>
      <c r="C27" s="40" t="s">
        <v>61</v>
      </c>
      <c r="D27" s="41" t="n">
        <f aca="false">INDEX(Proximidad!$C$6:$O$18,MATCH(A27,Proximidad!$B$6:$B$18,0),MATCH(C27,Proximidad!$C$5:$O$5,0))</f>
        <v>0</v>
      </c>
      <c r="E27" s="42" t="str">
        <f aca="false">IF(D27&gt;=Supuestos!$B$12,"Cercana",IF(D27&gt;=Supuestos!$B$13,"Media","Lejana"))</f>
        <v>Lejana</v>
      </c>
      <c r="F27" s="43" t="n">
        <f aca="false">INDEX('En común'!$C$6:$O$18,MATCH(A27,'En común'!$B$6:$B$18,0),MATCH(C27,'En común'!$C$5:$O$5,0))</f>
        <v>0</v>
      </c>
      <c r="G27" s="44" t="s">
        <v>220</v>
      </c>
      <c r="H27" s="44" t="s">
        <v>264</v>
      </c>
      <c r="I27" s="40" t="s">
        <v>250</v>
      </c>
    </row>
    <row r="28" customFormat="false" ht="46.25" hidden="false" customHeight="false" outlineLevel="0" collapsed="false">
      <c r="A28" s="40" t="s">
        <v>52</v>
      </c>
      <c r="B28" s="40" t="s">
        <v>265</v>
      </c>
      <c r="C28" s="40" t="s">
        <v>58</v>
      </c>
      <c r="D28" s="41" t="n">
        <f aca="false">INDEX(Proximidad!$C$6:$O$18,MATCH(A28,Proximidad!$B$6:$B$18,0),MATCH(C28,Proximidad!$C$5:$O$5,0))</f>
        <v>0</v>
      </c>
      <c r="E28" s="42" t="str">
        <f aca="false">IF(D28&gt;=Supuestos!$B$12,"Cercana",IF(D28&gt;=Supuestos!$B$13,"Media","Lejana"))</f>
        <v>Lejana</v>
      </c>
      <c r="F28" s="43" t="n">
        <f aca="false">INDEX('En común'!$C$6:$O$18,MATCH(A28,'En común'!$B$6:$B$18,0),MATCH(C28,'En común'!$C$5:$O$5,0))</f>
        <v>0</v>
      </c>
      <c r="G28" s="44" t="s">
        <v>220</v>
      </c>
      <c r="H28" s="44" t="s">
        <v>275</v>
      </c>
      <c r="I28" s="40" t="s">
        <v>250</v>
      </c>
    </row>
    <row r="29" customFormat="false" ht="23.85" hidden="false" customHeight="false" outlineLevel="0" collapsed="false">
      <c r="A29" s="35" t="s">
        <v>55</v>
      </c>
      <c r="B29" s="35" t="s">
        <v>238</v>
      </c>
      <c r="C29" s="35" t="s">
        <v>60</v>
      </c>
      <c r="D29" s="36" t="n">
        <f aca="false">INDEX(Proximidad!$C$6:$O$18,MATCH(A29,Proximidad!$B$6:$B$18,0),MATCH(C29,Proximidad!$C$5:$O$5,0))</f>
        <v>0.461538461538462</v>
      </c>
      <c r="E29" s="37" t="str">
        <f aca="false">IF(D29&gt;=Supuestos!$B$12,"Cercana",IF(D29&gt;=Supuestos!$B$13,"Media","Lejana"))</f>
        <v>Cercana</v>
      </c>
      <c r="F29" s="38" t="n">
        <f aca="false">INDEX('En común'!$C$6:$O$18,MATCH(A29,'En común'!$B$6:$B$18,0),MATCH(C29,'En común'!$C$5:$O$5,0))</f>
        <v>4</v>
      </c>
      <c r="G29" s="39" t="s">
        <v>62</v>
      </c>
      <c r="H29" s="39" t="s">
        <v>276</v>
      </c>
      <c r="I29" s="35" t="s">
        <v>240</v>
      </c>
    </row>
    <row r="30" customFormat="false" ht="35.05" hidden="false" customHeight="false" outlineLevel="0" collapsed="false">
      <c r="A30" s="40" t="s">
        <v>55</v>
      </c>
      <c r="B30" s="40" t="s">
        <v>241</v>
      </c>
      <c r="C30" s="40" t="s">
        <v>61</v>
      </c>
      <c r="D30" s="41" t="n">
        <f aca="false">INDEX(Proximidad!$C$6:$O$18,MATCH(A30,Proximidad!$B$6:$B$18,0),MATCH(C30,Proximidad!$C$5:$O$5,0))</f>
        <v>0.181818181818182</v>
      </c>
      <c r="E30" s="42" t="str">
        <f aca="false">IF(D30&gt;=Supuestos!$B$12,"Cercana",IF(D30&gt;=Supuestos!$B$13,"Media","Lejana"))</f>
        <v>Lejana</v>
      </c>
      <c r="F30" s="43" t="n">
        <f aca="false">INDEX('En común'!$C$6:$O$18,MATCH(A30,'En común'!$B$6:$B$18,0),MATCH(C30,'En común'!$C$5:$O$5,0))</f>
        <v>2</v>
      </c>
      <c r="G30" s="44" t="s">
        <v>277</v>
      </c>
      <c r="H30" s="44" t="s">
        <v>278</v>
      </c>
      <c r="I30" s="40" t="s">
        <v>250</v>
      </c>
    </row>
    <row r="31" customFormat="false" ht="35.05" hidden="false" customHeight="false" outlineLevel="0" collapsed="false">
      <c r="A31" s="40" t="s">
        <v>55</v>
      </c>
      <c r="B31" s="40" t="s">
        <v>244</v>
      </c>
      <c r="C31" s="40" t="s">
        <v>52</v>
      </c>
      <c r="D31" s="41" t="n">
        <f aca="false">INDEX(Proximidad!$C$6:$O$18,MATCH(A31,Proximidad!$B$6:$B$18,0),MATCH(C31,Proximidad!$C$5:$O$5,0))</f>
        <v>0.142857142857143</v>
      </c>
      <c r="E31" s="42" t="str">
        <f aca="false">IF(D31&gt;=Supuestos!$B$12,"Cercana",IF(D31&gt;=Supuestos!$B$13,"Media","Lejana"))</f>
        <v>Lejana</v>
      </c>
      <c r="F31" s="43" t="n">
        <f aca="false">INDEX('En común'!$C$6:$O$18,MATCH(A31,'En común'!$B$6:$B$18,0),MATCH(C31,'En común'!$C$5:$O$5,0))</f>
        <v>1</v>
      </c>
      <c r="G31" s="44" t="s">
        <v>158</v>
      </c>
      <c r="H31" s="44" t="s">
        <v>279</v>
      </c>
      <c r="I31" s="40" t="s">
        <v>240</v>
      </c>
    </row>
    <row r="32" customFormat="false" ht="35.05" hidden="false" customHeight="false" outlineLevel="0" collapsed="false">
      <c r="A32" s="40" t="s">
        <v>55</v>
      </c>
      <c r="B32" s="40" t="s">
        <v>247</v>
      </c>
      <c r="C32" s="40" t="s">
        <v>58</v>
      </c>
      <c r="D32" s="41" t="n">
        <f aca="false">INDEX(Proximidad!$C$6:$O$18,MATCH(A32,Proximidad!$B$6:$B$18,0),MATCH(C32,Proximidad!$C$5:$O$5,0))</f>
        <v>0.0833333333333333</v>
      </c>
      <c r="E32" s="42" t="str">
        <f aca="false">IF(D32&gt;=Supuestos!$B$12,"Cercana",IF(D32&gt;=Supuestos!$B$13,"Media","Lejana"))</f>
        <v>Lejana</v>
      </c>
      <c r="F32" s="43" t="n">
        <f aca="false">INDEX('En común'!$C$6:$O$18,MATCH(A32,'En común'!$B$6:$B$18,0),MATCH(C32,'En común'!$C$5:$O$5,0))</f>
        <v>1</v>
      </c>
      <c r="G32" s="44" t="s">
        <v>182</v>
      </c>
      <c r="H32" s="44" t="s">
        <v>280</v>
      </c>
      <c r="I32" s="40" t="s">
        <v>250</v>
      </c>
    </row>
    <row r="33" customFormat="false" ht="35.05" hidden="false" customHeight="false" outlineLevel="0" collapsed="false">
      <c r="A33" s="40" t="s">
        <v>55</v>
      </c>
      <c r="B33" s="40" t="s">
        <v>251</v>
      </c>
      <c r="C33" s="40" t="s">
        <v>54</v>
      </c>
      <c r="D33" s="41" t="n">
        <f aca="false">INDEX(Proximidad!$C$6:$O$18,MATCH(A33,Proximidad!$B$6:$B$18,0),MATCH(C33,Proximidad!$C$5:$O$5,0))</f>
        <v>0.0833333333333333</v>
      </c>
      <c r="E33" s="42" t="str">
        <f aca="false">IF(D33&gt;=Supuestos!$B$12,"Cercana",IF(D33&gt;=Supuestos!$B$13,"Media","Lejana"))</f>
        <v>Lejana</v>
      </c>
      <c r="F33" s="43" t="n">
        <f aca="false">INDEX('En común'!$C$6:$O$18,MATCH(A33,'En común'!$B$6:$B$18,0),MATCH(C33,'En común'!$C$5:$O$5,0))</f>
        <v>1</v>
      </c>
      <c r="G33" s="44" t="s">
        <v>182</v>
      </c>
      <c r="H33" s="44" t="s">
        <v>281</v>
      </c>
      <c r="I33" s="40" t="s">
        <v>240</v>
      </c>
    </row>
    <row r="34" customFormat="false" ht="35.05" hidden="false" customHeight="false" outlineLevel="0" collapsed="false">
      <c r="A34" s="40" t="s">
        <v>55</v>
      </c>
      <c r="B34" s="40" t="s">
        <v>253</v>
      </c>
      <c r="C34" s="40" t="s">
        <v>63</v>
      </c>
      <c r="D34" s="41" t="n">
        <f aca="false">INDEX(Proximidad!$C$6:$O$18,MATCH(A34,Proximidad!$B$6:$B$18,0),MATCH(C34,Proximidad!$C$5:$O$5,0))</f>
        <v>0.0769230769230769</v>
      </c>
      <c r="E34" s="42" t="str">
        <f aca="false">IF(D34&gt;=Supuestos!$B$12,"Cercana",IF(D34&gt;=Supuestos!$B$13,"Media","Lejana"))</f>
        <v>Lejana</v>
      </c>
      <c r="F34" s="43" t="n">
        <f aca="false">INDEX('En común'!$C$6:$O$18,MATCH(A34,'En común'!$B$6:$B$18,0),MATCH(C34,'En común'!$C$5:$O$5,0))</f>
        <v>1</v>
      </c>
      <c r="G34" s="44" t="s">
        <v>173</v>
      </c>
      <c r="H34" s="44" t="s">
        <v>282</v>
      </c>
      <c r="I34" s="40" t="s">
        <v>250</v>
      </c>
    </row>
    <row r="35" customFormat="false" ht="35.05" hidden="false" customHeight="false" outlineLevel="0" collapsed="false">
      <c r="A35" s="40" t="s">
        <v>55</v>
      </c>
      <c r="B35" s="40" t="s">
        <v>255</v>
      </c>
      <c r="C35" s="40" t="s">
        <v>57</v>
      </c>
      <c r="D35" s="41" t="n">
        <f aca="false">INDEX(Proximidad!$C$6:$O$18,MATCH(A35,Proximidad!$B$6:$B$18,0),MATCH(C35,Proximidad!$C$5:$O$5,0))</f>
        <v>0</v>
      </c>
      <c r="E35" s="42" t="str">
        <f aca="false">IF(D35&gt;=Supuestos!$B$12,"Cercana",IF(D35&gt;=Supuestos!$B$13,"Media","Lejana"))</f>
        <v>Lejana</v>
      </c>
      <c r="F35" s="43" t="n">
        <f aca="false">INDEX('En común'!$C$6:$O$18,MATCH(A35,'En común'!$B$6:$B$18,0),MATCH(C35,'En común'!$C$5:$O$5,0))</f>
        <v>0</v>
      </c>
      <c r="G35" s="44" t="s">
        <v>220</v>
      </c>
      <c r="H35" s="44" t="s">
        <v>283</v>
      </c>
      <c r="I35" s="40" t="s">
        <v>240</v>
      </c>
    </row>
    <row r="36" customFormat="false" ht="46.25" hidden="false" customHeight="false" outlineLevel="0" collapsed="false">
      <c r="A36" s="40" t="s">
        <v>55</v>
      </c>
      <c r="B36" s="40" t="s">
        <v>257</v>
      </c>
      <c r="C36" s="40" t="s">
        <v>67</v>
      </c>
      <c r="D36" s="41" t="n">
        <f aca="false">INDEX(Proximidad!$C$6:$O$18,MATCH(A36,Proximidad!$B$6:$B$18,0),MATCH(C36,Proximidad!$C$5:$O$5,0))</f>
        <v>0</v>
      </c>
      <c r="E36" s="42" t="str">
        <f aca="false">IF(D36&gt;=Supuestos!$B$12,"Cercana",IF(D36&gt;=Supuestos!$B$13,"Media","Lejana"))</f>
        <v>Lejana</v>
      </c>
      <c r="F36" s="43" t="n">
        <f aca="false">INDEX('En común'!$C$6:$O$18,MATCH(A36,'En común'!$B$6:$B$18,0),MATCH(C36,'En común'!$C$5:$O$5,0))</f>
        <v>0</v>
      </c>
      <c r="G36" s="44" t="s">
        <v>220</v>
      </c>
      <c r="H36" s="44" t="s">
        <v>262</v>
      </c>
      <c r="I36" s="40" t="s">
        <v>240</v>
      </c>
    </row>
    <row r="37" customFormat="false" ht="35.05" hidden="false" customHeight="false" outlineLevel="0" collapsed="false">
      <c r="A37" s="40" t="s">
        <v>55</v>
      </c>
      <c r="B37" s="40" t="s">
        <v>259</v>
      </c>
      <c r="C37" s="40" t="s">
        <v>51</v>
      </c>
      <c r="D37" s="41" t="n">
        <f aca="false">INDEX(Proximidad!$C$6:$O$18,MATCH(A37,Proximidad!$B$6:$B$18,0),MATCH(C37,Proximidad!$C$5:$O$5,0))</f>
        <v>0</v>
      </c>
      <c r="E37" s="42" t="str">
        <f aca="false">IF(D37&gt;=Supuestos!$B$12,"Cercana",IF(D37&gt;=Supuestos!$B$13,"Media","Lejana"))</f>
        <v>Lejana</v>
      </c>
      <c r="F37" s="43" t="n">
        <f aca="false">INDEX('En común'!$C$6:$O$18,MATCH(A37,'En común'!$B$6:$B$18,0),MATCH(C37,'En común'!$C$5:$O$5,0))</f>
        <v>0</v>
      </c>
      <c r="G37" s="44" t="s">
        <v>220</v>
      </c>
      <c r="H37" s="44" t="s">
        <v>284</v>
      </c>
      <c r="I37" s="40" t="s">
        <v>268</v>
      </c>
    </row>
    <row r="38" customFormat="false" ht="46.25" hidden="false" customHeight="false" outlineLevel="0" collapsed="false">
      <c r="A38" s="40" t="s">
        <v>55</v>
      </c>
      <c r="B38" s="40" t="s">
        <v>261</v>
      </c>
      <c r="C38" s="40" t="s">
        <v>64</v>
      </c>
      <c r="D38" s="41" t="n">
        <f aca="false">INDEX(Proximidad!$C$6:$O$18,MATCH(A38,Proximidad!$B$6:$B$18,0),MATCH(C38,Proximidad!$C$5:$O$5,0))</f>
        <v>0</v>
      </c>
      <c r="E38" s="42" t="str">
        <f aca="false">IF(D38&gt;=Supuestos!$B$12,"Cercana",IF(D38&gt;=Supuestos!$B$13,"Media","Lejana"))</f>
        <v>Lejana</v>
      </c>
      <c r="F38" s="43" t="n">
        <f aca="false">INDEX('En común'!$C$6:$O$18,MATCH(A38,'En común'!$B$6:$B$18,0),MATCH(C38,'En común'!$C$5:$O$5,0))</f>
        <v>0</v>
      </c>
      <c r="G38" s="44" t="s">
        <v>220</v>
      </c>
      <c r="H38" s="44" t="s">
        <v>274</v>
      </c>
      <c r="I38" s="40" t="s">
        <v>250</v>
      </c>
    </row>
    <row r="39" customFormat="false" ht="35.05" hidden="false" customHeight="false" outlineLevel="0" collapsed="false">
      <c r="A39" s="40" t="s">
        <v>55</v>
      </c>
      <c r="B39" s="40" t="s">
        <v>263</v>
      </c>
      <c r="C39" s="40" t="s">
        <v>68</v>
      </c>
      <c r="D39" s="41" t="n">
        <f aca="false">INDEX(Proximidad!$C$6:$O$18,MATCH(A39,Proximidad!$B$6:$B$18,0),MATCH(C39,Proximidad!$C$5:$O$5,0))</f>
        <v>0</v>
      </c>
      <c r="E39" s="42" t="str">
        <f aca="false">IF(D39&gt;=Supuestos!$B$12,"Cercana",IF(D39&gt;=Supuestos!$B$13,"Media","Lejana"))</f>
        <v>Lejana</v>
      </c>
      <c r="F39" s="43" t="n">
        <f aca="false">INDEX('En común'!$C$6:$O$18,MATCH(A39,'En común'!$B$6:$B$18,0),MATCH(C39,'En común'!$C$5:$O$5,0))</f>
        <v>0</v>
      </c>
      <c r="G39" s="44" t="s">
        <v>220</v>
      </c>
      <c r="H39" s="44" t="s">
        <v>285</v>
      </c>
      <c r="I39" s="40" t="s">
        <v>250</v>
      </c>
    </row>
    <row r="40" customFormat="false" ht="35.05" hidden="false" customHeight="false" outlineLevel="0" collapsed="false">
      <c r="A40" s="40" t="s">
        <v>55</v>
      </c>
      <c r="B40" s="40" t="s">
        <v>265</v>
      </c>
      <c r="C40" s="40" t="s">
        <v>53</v>
      </c>
      <c r="D40" s="41" t="n">
        <f aca="false">INDEX(Proximidad!$C$6:$O$18,MATCH(A40,Proximidad!$B$6:$B$18,0),MATCH(C40,Proximidad!$C$5:$O$5,0))</f>
        <v>0</v>
      </c>
      <c r="E40" s="42" t="str">
        <f aca="false">IF(D40&gt;=Supuestos!$B$12,"Cercana",IF(D40&gt;=Supuestos!$B$13,"Media","Lejana"))</f>
        <v>Lejana</v>
      </c>
      <c r="F40" s="43" t="n">
        <f aca="false">INDEX('En común'!$C$6:$O$18,MATCH(A40,'En común'!$B$6:$B$18,0),MATCH(C40,'En común'!$C$5:$O$5,0))</f>
        <v>0</v>
      </c>
      <c r="G40" s="44" t="s">
        <v>220</v>
      </c>
      <c r="H40" s="44" t="s">
        <v>286</v>
      </c>
      <c r="I40" s="40" t="s">
        <v>240</v>
      </c>
    </row>
    <row r="41" customFormat="false" ht="35.05" hidden="false" customHeight="false" outlineLevel="0" collapsed="false">
      <c r="A41" s="35" t="s">
        <v>63</v>
      </c>
      <c r="B41" s="35" t="s">
        <v>238</v>
      </c>
      <c r="C41" s="35" t="s">
        <v>57</v>
      </c>
      <c r="D41" s="36" t="n">
        <f aca="false">INDEX(Proximidad!$C$6:$O$18,MATCH(A41,Proximidad!$B$6:$B$18,0),MATCH(C41,Proximidad!$C$5:$O$5,0))</f>
        <v>0.285714285714286</v>
      </c>
      <c r="E41" s="37" t="str">
        <f aca="false">IF(D41&gt;=Supuestos!$B$12,"Cercana",IF(D41&gt;=Supuestos!$B$13,"Media","Lejana"))</f>
        <v>Media</v>
      </c>
      <c r="F41" s="38" t="n">
        <f aca="false">INDEX('En común'!$C$6:$O$18,MATCH(A41,'En común'!$B$6:$B$18,0),MATCH(C41,'En común'!$C$5:$O$5,0))</f>
        <v>2</v>
      </c>
      <c r="G41" s="39" t="s">
        <v>65</v>
      </c>
      <c r="H41" s="39" t="s">
        <v>287</v>
      </c>
      <c r="I41" s="35" t="s">
        <v>240</v>
      </c>
    </row>
    <row r="42" customFormat="false" ht="35.05" hidden="false" customHeight="false" outlineLevel="0" collapsed="false">
      <c r="A42" s="40" t="s">
        <v>63</v>
      </c>
      <c r="B42" s="40" t="s">
        <v>241</v>
      </c>
      <c r="C42" s="40" t="s">
        <v>64</v>
      </c>
      <c r="D42" s="41" t="n">
        <f aca="false">INDEX(Proximidad!$C$6:$O$18,MATCH(A42,Proximidad!$B$6:$B$18,0),MATCH(C42,Proximidad!$C$5:$O$5,0))</f>
        <v>0.25</v>
      </c>
      <c r="E42" s="42" t="str">
        <f aca="false">IF(D42&gt;=Supuestos!$B$12,"Cercana",IF(D42&gt;=Supuestos!$B$13,"Media","Lejana"))</f>
        <v>Media</v>
      </c>
      <c r="F42" s="43" t="n">
        <f aca="false">INDEX('En común'!$C$6:$O$18,MATCH(A42,'En común'!$B$6:$B$18,0),MATCH(C42,'En común'!$C$5:$O$5,0))</f>
        <v>2</v>
      </c>
      <c r="G42" s="44" t="s">
        <v>288</v>
      </c>
      <c r="H42" s="44" t="s">
        <v>289</v>
      </c>
      <c r="I42" s="40" t="s">
        <v>250</v>
      </c>
    </row>
    <row r="43" customFormat="false" ht="35.05" hidden="false" customHeight="false" outlineLevel="0" collapsed="false">
      <c r="A43" s="40" t="s">
        <v>63</v>
      </c>
      <c r="B43" s="40" t="s">
        <v>244</v>
      </c>
      <c r="C43" s="40" t="s">
        <v>60</v>
      </c>
      <c r="D43" s="41" t="n">
        <f aca="false">INDEX(Proximidad!$C$6:$O$18,MATCH(A43,Proximidad!$B$6:$B$18,0),MATCH(C43,Proximidad!$C$5:$O$5,0))</f>
        <v>0.230769230769231</v>
      </c>
      <c r="E43" s="42" t="str">
        <f aca="false">IF(D43&gt;=Supuestos!$B$12,"Cercana",IF(D43&gt;=Supuestos!$B$13,"Media","Lejana"))</f>
        <v>Media</v>
      </c>
      <c r="F43" s="43" t="n">
        <f aca="false">INDEX('En común'!$C$6:$O$18,MATCH(A43,'En común'!$B$6:$B$18,0),MATCH(C43,'En común'!$C$5:$O$5,0))</f>
        <v>2</v>
      </c>
      <c r="G43" s="44" t="s">
        <v>290</v>
      </c>
      <c r="H43" s="44" t="s">
        <v>291</v>
      </c>
      <c r="I43" s="40" t="s">
        <v>240</v>
      </c>
    </row>
    <row r="44" customFormat="false" ht="35.05" hidden="false" customHeight="false" outlineLevel="0" collapsed="false">
      <c r="A44" s="40" t="s">
        <v>63</v>
      </c>
      <c r="B44" s="40" t="s">
        <v>247</v>
      </c>
      <c r="C44" s="40" t="s">
        <v>61</v>
      </c>
      <c r="D44" s="41" t="n">
        <f aca="false">INDEX(Proximidad!$C$6:$O$18,MATCH(A44,Proximidad!$B$6:$B$18,0),MATCH(C44,Proximidad!$C$5:$O$5,0))</f>
        <v>0.0909090909090909</v>
      </c>
      <c r="E44" s="42" t="str">
        <f aca="false">IF(D44&gt;=Supuestos!$B$12,"Cercana",IF(D44&gt;=Supuestos!$B$13,"Media","Lejana"))</f>
        <v>Lejana</v>
      </c>
      <c r="F44" s="43" t="n">
        <f aca="false">INDEX('En común'!$C$6:$O$18,MATCH(A44,'En común'!$B$6:$B$18,0),MATCH(C44,'En común'!$C$5:$O$5,0))</f>
        <v>1</v>
      </c>
      <c r="G44" s="44" t="s">
        <v>173</v>
      </c>
      <c r="H44" s="44" t="s">
        <v>292</v>
      </c>
      <c r="I44" s="40" t="s">
        <v>250</v>
      </c>
    </row>
    <row r="45" customFormat="false" ht="35.05" hidden="false" customHeight="false" outlineLevel="0" collapsed="false">
      <c r="A45" s="40" t="s">
        <v>63</v>
      </c>
      <c r="B45" s="40" t="s">
        <v>251</v>
      </c>
      <c r="C45" s="40" t="s">
        <v>68</v>
      </c>
      <c r="D45" s="41" t="n">
        <f aca="false">INDEX(Proximidad!$C$6:$O$18,MATCH(A45,Proximidad!$B$6:$B$18,0),MATCH(C45,Proximidad!$C$5:$O$5,0))</f>
        <v>0.0833333333333333</v>
      </c>
      <c r="E45" s="42" t="str">
        <f aca="false">IF(D45&gt;=Supuestos!$B$12,"Cercana",IF(D45&gt;=Supuestos!$B$13,"Media","Lejana"))</f>
        <v>Lejana</v>
      </c>
      <c r="F45" s="43" t="n">
        <f aca="false">INDEX('En común'!$C$6:$O$18,MATCH(A45,'En común'!$B$6:$B$18,0),MATCH(C45,'En común'!$C$5:$O$5,0))</f>
        <v>1</v>
      </c>
      <c r="G45" s="44" t="s">
        <v>179</v>
      </c>
      <c r="H45" s="44" t="s">
        <v>293</v>
      </c>
      <c r="I45" s="40" t="s">
        <v>250</v>
      </c>
    </row>
    <row r="46" customFormat="false" ht="46.25" hidden="false" customHeight="false" outlineLevel="0" collapsed="false">
      <c r="A46" s="40" t="s">
        <v>63</v>
      </c>
      <c r="B46" s="40" t="s">
        <v>253</v>
      </c>
      <c r="C46" s="40" t="s">
        <v>58</v>
      </c>
      <c r="D46" s="41" t="n">
        <f aca="false">INDEX(Proximidad!$C$6:$O$18,MATCH(A46,Proximidad!$B$6:$B$18,0),MATCH(C46,Proximidad!$C$5:$O$5,0))</f>
        <v>0.0833333333333333</v>
      </c>
      <c r="E46" s="42" t="str">
        <f aca="false">IF(D46&gt;=Supuestos!$B$12,"Cercana",IF(D46&gt;=Supuestos!$B$13,"Media","Lejana"))</f>
        <v>Lejana</v>
      </c>
      <c r="F46" s="43" t="n">
        <f aca="false">INDEX('En común'!$C$6:$O$18,MATCH(A46,'En común'!$B$6:$B$18,0),MATCH(C46,'En común'!$C$5:$O$5,0))</f>
        <v>1</v>
      </c>
      <c r="G46" s="44" t="s">
        <v>179</v>
      </c>
      <c r="H46" s="44" t="s">
        <v>294</v>
      </c>
      <c r="I46" s="40" t="s">
        <v>250</v>
      </c>
    </row>
    <row r="47" customFormat="false" ht="35.05" hidden="false" customHeight="false" outlineLevel="0" collapsed="false">
      <c r="A47" s="40" t="s">
        <v>63</v>
      </c>
      <c r="B47" s="40" t="s">
        <v>255</v>
      </c>
      <c r="C47" s="40" t="s">
        <v>54</v>
      </c>
      <c r="D47" s="41" t="n">
        <f aca="false">INDEX(Proximidad!$C$6:$O$18,MATCH(A47,Proximidad!$B$6:$B$18,0),MATCH(C47,Proximidad!$C$5:$O$5,0))</f>
        <v>0.0833333333333333</v>
      </c>
      <c r="E47" s="42" t="str">
        <f aca="false">IF(D47&gt;=Supuestos!$B$12,"Cercana",IF(D47&gt;=Supuestos!$B$13,"Media","Lejana"))</f>
        <v>Lejana</v>
      </c>
      <c r="F47" s="43" t="n">
        <f aca="false">INDEX('En común'!$C$6:$O$18,MATCH(A47,'En común'!$B$6:$B$18,0),MATCH(C47,'En común'!$C$5:$O$5,0))</f>
        <v>1</v>
      </c>
      <c r="G47" s="44" t="s">
        <v>179</v>
      </c>
      <c r="H47" s="44" t="s">
        <v>295</v>
      </c>
      <c r="I47" s="40" t="s">
        <v>240</v>
      </c>
    </row>
    <row r="48" customFormat="false" ht="35.05" hidden="false" customHeight="false" outlineLevel="0" collapsed="false">
      <c r="A48" s="40" t="s">
        <v>63</v>
      </c>
      <c r="B48" s="40" t="s">
        <v>257</v>
      </c>
      <c r="C48" s="40" t="s">
        <v>55</v>
      </c>
      <c r="D48" s="41" t="n">
        <f aca="false">INDEX(Proximidad!$C$6:$O$18,MATCH(A48,Proximidad!$B$6:$B$18,0),MATCH(C48,Proximidad!$C$5:$O$5,0))</f>
        <v>0.0769230769230769</v>
      </c>
      <c r="E48" s="42" t="str">
        <f aca="false">IF(D48&gt;=Supuestos!$B$12,"Cercana",IF(D48&gt;=Supuestos!$B$13,"Media","Lejana"))</f>
        <v>Lejana</v>
      </c>
      <c r="F48" s="43" t="n">
        <f aca="false">INDEX('En común'!$C$6:$O$18,MATCH(A48,'En común'!$B$6:$B$18,0),MATCH(C48,'En común'!$C$5:$O$5,0))</f>
        <v>1</v>
      </c>
      <c r="G48" s="44" t="s">
        <v>173</v>
      </c>
      <c r="H48" s="44" t="s">
        <v>296</v>
      </c>
      <c r="I48" s="40" t="s">
        <v>240</v>
      </c>
    </row>
    <row r="49" customFormat="false" ht="46.25" hidden="false" customHeight="false" outlineLevel="0" collapsed="false">
      <c r="A49" s="40" t="s">
        <v>63</v>
      </c>
      <c r="B49" s="40" t="s">
        <v>259</v>
      </c>
      <c r="C49" s="40" t="s">
        <v>67</v>
      </c>
      <c r="D49" s="41" t="n">
        <f aca="false">INDEX(Proximidad!$C$6:$O$18,MATCH(A49,Proximidad!$B$6:$B$18,0),MATCH(C49,Proximidad!$C$5:$O$5,0))</f>
        <v>0</v>
      </c>
      <c r="E49" s="42" t="str">
        <f aca="false">IF(D49&gt;=Supuestos!$B$12,"Cercana",IF(D49&gt;=Supuestos!$B$13,"Media","Lejana"))</f>
        <v>Lejana</v>
      </c>
      <c r="F49" s="43" t="n">
        <f aca="false">INDEX('En común'!$C$6:$O$18,MATCH(A49,'En común'!$B$6:$B$18,0),MATCH(C49,'En común'!$C$5:$O$5,0))</f>
        <v>0</v>
      </c>
      <c r="G49" s="44" t="s">
        <v>220</v>
      </c>
      <c r="H49" s="44" t="s">
        <v>262</v>
      </c>
      <c r="I49" s="40" t="s">
        <v>240</v>
      </c>
    </row>
    <row r="50" customFormat="false" ht="35.05" hidden="false" customHeight="false" outlineLevel="0" collapsed="false">
      <c r="A50" s="40" t="s">
        <v>63</v>
      </c>
      <c r="B50" s="40" t="s">
        <v>261</v>
      </c>
      <c r="C50" s="40" t="s">
        <v>51</v>
      </c>
      <c r="D50" s="41" t="n">
        <f aca="false">INDEX(Proximidad!$C$6:$O$18,MATCH(A50,Proximidad!$B$6:$B$18,0),MATCH(C50,Proximidad!$C$5:$O$5,0))</f>
        <v>0</v>
      </c>
      <c r="E50" s="42" t="str">
        <f aca="false">IF(D50&gt;=Supuestos!$B$12,"Cercana",IF(D50&gt;=Supuestos!$B$13,"Media","Lejana"))</f>
        <v>Lejana</v>
      </c>
      <c r="F50" s="43" t="n">
        <f aca="false">INDEX('En común'!$C$6:$O$18,MATCH(A50,'En común'!$B$6:$B$18,0),MATCH(C50,'En común'!$C$5:$O$5,0))</f>
        <v>0</v>
      </c>
      <c r="G50" s="44" t="s">
        <v>220</v>
      </c>
      <c r="H50" s="44" t="s">
        <v>284</v>
      </c>
      <c r="I50" s="40" t="s">
        <v>268</v>
      </c>
    </row>
    <row r="51" customFormat="false" ht="35.05" hidden="false" customHeight="false" outlineLevel="0" collapsed="false">
      <c r="A51" s="40" t="s">
        <v>63</v>
      </c>
      <c r="B51" s="40" t="s">
        <v>263</v>
      </c>
      <c r="C51" s="40" t="s">
        <v>53</v>
      </c>
      <c r="D51" s="41" t="n">
        <f aca="false">INDEX(Proximidad!$C$6:$O$18,MATCH(A51,Proximidad!$B$6:$B$18,0),MATCH(C51,Proximidad!$C$5:$O$5,0))</f>
        <v>0</v>
      </c>
      <c r="E51" s="42" t="str">
        <f aca="false">IF(D51&gt;=Supuestos!$B$12,"Cercana",IF(D51&gt;=Supuestos!$B$13,"Media","Lejana"))</f>
        <v>Lejana</v>
      </c>
      <c r="F51" s="43" t="n">
        <f aca="false">INDEX('En común'!$C$6:$O$18,MATCH(A51,'En común'!$B$6:$B$18,0),MATCH(C51,'En común'!$C$5:$O$5,0))</f>
        <v>0</v>
      </c>
      <c r="G51" s="44" t="s">
        <v>220</v>
      </c>
      <c r="H51" s="44" t="s">
        <v>286</v>
      </c>
      <c r="I51" s="40" t="s">
        <v>240</v>
      </c>
    </row>
    <row r="52" customFormat="false" ht="35.05" hidden="false" customHeight="false" outlineLevel="0" collapsed="false">
      <c r="A52" s="40" t="s">
        <v>63</v>
      </c>
      <c r="B52" s="40" t="s">
        <v>265</v>
      </c>
      <c r="C52" s="40" t="s">
        <v>52</v>
      </c>
      <c r="D52" s="41" t="n">
        <f aca="false">INDEX(Proximidad!$C$6:$O$18,MATCH(A52,Proximidad!$B$6:$B$18,0),MATCH(C52,Proximidad!$C$5:$O$5,0))</f>
        <v>0</v>
      </c>
      <c r="E52" s="42" t="str">
        <f aca="false">IF(D52&gt;=Supuestos!$B$12,"Cercana",IF(D52&gt;=Supuestos!$B$13,"Media","Lejana"))</f>
        <v>Lejana</v>
      </c>
      <c r="F52" s="43" t="n">
        <f aca="false">INDEX('En común'!$C$6:$O$18,MATCH(A52,'En común'!$B$6:$B$18,0),MATCH(C52,'En común'!$C$5:$O$5,0))</f>
        <v>0</v>
      </c>
      <c r="G52" s="44" t="s">
        <v>220</v>
      </c>
      <c r="H52" s="44" t="s">
        <v>297</v>
      </c>
      <c r="I52" s="40" t="s">
        <v>240</v>
      </c>
    </row>
    <row r="53" customFormat="false" ht="23.85" hidden="false" customHeight="false" outlineLevel="0" collapsed="false">
      <c r="A53" s="35" t="s">
        <v>58</v>
      </c>
      <c r="B53" s="35" t="s">
        <v>238</v>
      </c>
      <c r="C53" s="35" t="s">
        <v>64</v>
      </c>
      <c r="D53" s="36" t="n">
        <f aca="false">INDEX(Proximidad!$C$6:$O$18,MATCH(A53,Proximidad!$B$6:$B$18,0),MATCH(C53,Proximidad!$C$5:$O$5,0))</f>
        <v>0.583333333333333</v>
      </c>
      <c r="E53" s="37" t="str">
        <f aca="false">IF(D53&gt;=Supuestos!$B$12,"Cercana",IF(D53&gt;=Supuestos!$B$13,"Media","Lejana"))</f>
        <v>Cercana</v>
      </c>
      <c r="F53" s="38" t="n">
        <f aca="false">INDEX('En común'!$C$6:$O$18,MATCH(A53,'En común'!$B$6:$B$18,0),MATCH(C53,'En común'!$C$5:$O$5,0))</f>
        <v>4</v>
      </c>
      <c r="G53" s="39" t="s">
        <v>66</v>
      </c>
      <c r="H53" s="39" t="s">
        <v>298</v>
      </c>
      <c r="I53" s="35" t="s">
        <v>250</v>
      </c>
    </row>
    <row r="54" customFormat="false" ht="35.05" hidden="false" customHeight="false" outlineLevel="0" collapsed="false">
      <c r="A54" s="40" t="s">
        <v>58</v>
      </c>
      <c r="B54" s="40" t="s">
        <v>241</v>
      </c>
      <c r="C54" s="40" t="s">
        <v>61</v>
      </c>
      <c r="D54" s="41" t="n">
        <f aca="false">INDEX(Proximidad!$C$6:$O$18,MATCH(A54,Proximidad!$B$6:$B$18,0),MATCH(C54,Proximidad!$C$5:$O$5,0))</f>
        <v>0.272727272727273</v>
      </c>
      <c r="E54" s="42" t="str">
        <f aca="false">IF(D54&gt;=Supuestos!$B$12,"Cercana",IF(D54&gt;=Supuestos!$B$13,"Media","Lejana"))</f>
        <v>Media</v>
      </c>
      <c r="F54" s="43" t="n">
        <f aca="false">INDEX('En común'!$C$6:$O$18,MATCH(A54,'En común'!$B$6:$B$18,0),MATCH(C54,'En común'!$C$5:$O$5,0))</f>
        <v>2</v>
      </c>
      <c r="G54" s="44" t="s">
        <v>299</v>
      </c>
      <c r="H54" s="44" t="s">
        <v>300</v>
      </c>
      <c r="I54" s="40" t="s">
        <v>250</v>
      </c>
    </row>
    <row r="55" customFormat="false" ht="23.85" hidden="false" customHeight="false" outlineLevel="0" collapsed="false">
      <c r="A55" s="40" t="s">
        <v>58</v>
      </c>
      <c r="B55" s="40" t="s">
        <v>244</v>
      </c>
      <c r="C55" s="40" t="s">
        <v>54</v>
      </c>
      <c r="D55" s="41" t="n">
        <f aca="false">INDEX(Proximidad!$C$6:$O$18,MATCH(A55,Proximidad!$B$6:$B$18,0),MATCH(C55,Proximidad!$C$5:$O$5,0))</f>
        <v>0.25</v>
      </c>
      <c r="E55" s="42" t="str">
        <f aca="false">IF(D55&gt;=Supuestos!$B$12,"Cercana",IF(D55&gt;=Supuestos!$B$13,"Media","Lejana"))</f>
        <v>Media</v>
      </c>
      <c r="F55" s="43" t="n">
        <f aca="false">INDEX('En común'!$C$6:$O$18,MATCH(A55,'En común'!$B$6:$B$18,0),MATCH(C55,'En común'!$C$5:$O$5,0))</f>
        <v>3</v>
      </c>
      <c r="G55" s="44" t="s">
        <v>301</v>
      </c>
      <c r="H55" s="44" t="s">
        <v>302</v>
      </c>
      <c r="I55" s="40" t="s">
        <v>240</v>
      </c>
    </row>
    <row r="56" customFormat="false" ht="35.05" hidden="false" customHeight="false" outlineLevel="0" collapsed="false">
      <c r="A56" s="40" t="s">
        <v>58</v>
      </c>
      <c r="B56" s="40" t="s">
        <v>247</v>
      </c>
      <c r="C56" s="40" t="s">
        <v>60</v>
      </c>
      <c r="D56" s="41" t="n">
        <f aca="false">INDEX(Proximidad!$C$6:$O$18,MATCH(A56,Proximidad!$B$6:$B$18,0),MATCH(C56,Proximidad!$C$5:$O$5,0))</f>
        <v>0.230769230769231</v>
      </c>
      <c r="E56" s="42" t="str">
        <f aca="false">IF(D56&gt;=Supuestos!$B$12,"Cercana",IF(D56&gt;=Supuestos!$B$13,"Media","Lejana"))</f>
        <v>Media</v>
      </c>
      <c r="F56" s="43" t="n">
        <f aca="false">INDEX('En común'!$C$6:$O$18,MATCH(A56,'En común'!$B$6:$B$18,0),MATCH(C56,'En común'!$C$5:$O$5,0))</f>
        <v>2</v>
      </c>
      <c r="G56" s="44" t="s">
        <v>303</v>
      </c>
      <c r="H56" s="44" t="s">
        <v>304</v>
      </c>
      <c r="I56" s="40" t="s">
        <v>240</v>
      </c>
    </row>
    <row r="57" customFormat="false" ht="35.05" hidden="false" customHeight="false" outlineLevel="0" collapsed="false">
      <c r="A57" s="40" t="s">
        <v>58</v>
      </c>
      <c r="B57" s="40" t="s">
        <v>251</v>
      </c>
      <c r="C57" s="40" t="s">
        <v>68</v>
      </c>
      <c r="D57" s="41" t="n">
        <f aca="false">INDEX(Proximidad!$C$6:$O$18,MATCH(A57,Proximidad!$B$6:$B$18,0),MATCH(C57,Proximidad!$C$5:$O$5,0))</f>
        <v>0.166666666666667</v>
      </c>
      <c r="E57" s="42" t="str">
        <f aca="false">IF(D57&gt;=Supuestos!$B$12,"Cercana",IF(D57&gt;=Supuestos!$B$13,"Media","Lejana"))</f>
        <v>Lejana</v>
      </c>
      <c r="F57" s="43" t="n">
        <f aca="false">INDEX('En común'!$C$6:$O$18,MATCH(A57,'En común'!$B$6:$B$18,0),MATCH(C57,'En común'!$C$5:$O$5,0))</f>
        <v>2</v>
      </c>
      <c r="G57" s="44" t="s">
        <v>305</v>
      </c>
      <c r="H57" s="44" t="s">
        <v>306</v>
      </c>
      <c r="I57" s="40" t="s">
        <v>250</v>
      </c>
    </row>
    <row r="58" customFormat="false" ht="35.05" hidden="false" customHeight="false" outlineLevel="0" collapsed="false">
      <c r="A58" s="40" t="s">
        <v>58</v>
      </c>
      <c r="B58" s="40" t="s">
        <v>253</v>
      </c>
      <c r="C58" s="40" t="s">
        <v>67</v>
      </c>
      <c r="D58" s="41" t="n">
        <f aca="false">INDEX(Proximidad!$C$6:$O$18,MATCH(A58,Proximidad!$B$6:$B$18,0),MATCH(C58,Proximidad!$C$5:$O$5,0))</f>
        <v>0.153846153846154</v>
      </c>
      <c r="E58" s="42" t="str">
        <f aca="false">IF(D58&gt;=Supuestos!$B$12,"Cercana",IF(D58&gt;=Supuestos!$B$13,"Media","Lejana"))</f>
        <v>Lejana</v>
      </c>
      <c r="F58" s="43" t="n">
        <f aca="false">INDEX('En común'!$C$6:$O$18,MATCH(A58,'En común'!$B$6:$B$18,0),MATCH(C58,'En común'!$C$5:$O$5,0))</f>
        <v>1</v>
      </c>
      <c r="G58" s="44" t="s">
        <v>137</v>
      </c>
      <c r="H58" s="44" t="s">
        <v>307</v>
      </c>
      <c r="I58" s="40" t="s">
        <v>240</v>
      </c>
    </row>
    <row r="59" customFormat="false" ht="46.25" hidden="false" customHeight="false" outlineLevel="0" collapsed="false">
      <c r="A59" s="40" t="s">
        <v>58</v>
      </c>
      <c r="B59" s="40" t="s">
        <v>255</v>
      </c>
      <c r="C59" s="40" t="s">
        <v>63</v>
      </c>
      <c r="D59" s="41" t="n">
        <f aca="false">INDEX(Proximidad!$C$6:$O$18,MATCH(A59,Proximidad!$B$6:$B$18,0),MATCH(C59,Proximidad!$C$5:$O$5,0))</f>
        <v>0.0769230769230769</v>
      </c>
      <c r="E59" s="42" t="str">
        <f aca="false">IF(D59&gt;=Supuestos!$B$12,"Cercana",IF(D59&gt;=Supuestos!$B$13,"Media","Lejana"))</f>
        <v>Lejana</v>
      </c>
      <c r="F59" s="43" t="n">
        <f aca="false">INDEX('En común'!$C$6:$O$18,MATCH(A59,'En común'!$B$6:$B$18,0),MATCH(C59,'En común'!$C$5:$O$5,0))</f>
        <v>1</v>
      </c>
      <c r="G59" s="44" t="s">
        <v>179</v>
      </c>
      <c r="H59" s="44" t="s">
        <v>308</v>
      </c>
      <c r="I59" s="40" t="s">
        <v>250</v>
      </c>
    </row>
    <row r="60" customFormat="false" ht="35.05" hidden="false" customHeight="false" outlineLevel="0" collapsed="false">
      <c r="A60" s="40" t="s">
        <v>58</v>
      </c>
      <c r="B60" s="40" t="s">
        <v>257</v>
      </c>
      <c r="C60" s="40" t="s">
        <v>51</v>
      </c>
      <c r="D60" s="41" t="n">
        <f aca="false">INDEX(Proximidad!$C$6:$O$18,MATCH(A60,Proximidad!$B$6:$B$18,0),MATCH(C60,Proximidad!$C$5:$O$5,0))</f>
        <v>0.0769230769230769</v>
      </c>
      <c r="E60" s="42" t="str">
        <f aca="false">IF(D60&gt;=Supuestos!$B$12,"Cercana",IF(D60&gt;=Supuestos!$B$13,"Media","Lejana"))</f>
        <v>Lejana</v>
      </c>
      <c r="F60" s="43" t="n">
        <f aca="false">INDEX('En común'!$C$6:$O$18,MATCH(A60,'En común'!$B$6:$B$18,0),MATCH(C60,'En común'!$C$5:$O$5,0))</f>
        <v>1</v>
      </c>
      <c r="G60" s="44" t="s">
        <v>170</v>
      </c>
      <c r="H60" s="44" t="s">
        <v>309</v>
      </c>
      <c r="I60" s="40" t="s">
        <v>268</v>
      </c>
    </row>
    <row r="61" customFormat="false" ht="35.05" hidden="false" customHeight="false" outlineLevel="0" collapsed="false">
      <c r="A61" s="40" t="s">
        <v>58</v>
      </c>
      <c r="B61" s="40" t="s">
        <v>259</v>
      </c>
      <c r="C61" s="40" t="s">
        <v>55</v>
      </c>
      <c r="D61" s="41" t="n">
        <f aca="false">INDEX(Proximidad!$C$6:$O$18,MATCH(A61,Proximidad!$B$6:$B$18,0),MATCH(C61,Proximidad!$C$5:$O$5,0))</f>
        <v>0.0769230769230769</v>
      </c>
      <c r="E61" s="42" t="str">
        <f aca="false">IF(D61&gt;=Supuestos!$B$12,"Cercana",IF(D61&gt;=Supuestos!$B$13,"Media","Lejana"))</f>
        <v>Lejana</v>
      </c>
      <c r="F61" s="43" t="n">
        <f aca="false">INDEX('En común'!$C$6:$O$18,MATCH(A61,'En común'!$B$6:$B$18,0),MATCH(C61,'En común'!$C$5:$O$5,0))</f>
        <v>1</v>
      </c>
      <c r="G61" s="44" t="s">
        <v>182</v>
      </c>
      <c r="H61" s="44" t="s">
        <v>310</v>
      </c>
      <c r="I61" s="40" t="s">
        <v>240</v>
      </c>
    </row>
    <row r="62" customFormat="false" ht="35.05" hidden="false" customHeight="false" outlineLevel="0" collapsed="false">
      <c r="A62" s="40" t="s">
        <v>58</v>
      </c>
      <c r="B62" s="40" t="s">
        <v>261</v>
      </c>
      <c r="C62" s="40" t="s">
        <v>57</v>
      </c>
      <c r="D62" s="41" t="n">
        <f aca="false">INDEX(Proximidad!$C$6:$O$18,MATCH(A62,Proximidad!$B$6:$B$18,0),MATCH(C62,Proximidad!$C$5:$O$5,0))</f>
        <v>0</v>
      </c>
      <c r="E62" s="42" t="str">
        <f aca="false">IF(D62&gt;=Supuestos!$B$12,"Cercana",IF(D62&gt;=Supuestos!$B$13,"Media","Lejana"))</f>
        <v>Lejana</v>
      </c>
      <c r="F62" s="43" t="n">
        <f aca="false">INDEX('En común'!$C$6:$O$18,MATCH(A62,'En común'!$B$6:$B$18,0),MATCH(C62,'En común'!$C$5:$O$5,0))</f>
        <v>0</v>
      </c>
      <c r="G62" s="44" t="s">
        <v>220</v>
      </c>
      <c r="H62" s="44" t="s">
        <v>283</v>
      </c>
      <c r="I62" s="40" t="s">
        <v>240</v>
      </c>
    </row>
    <row r="63" customFormat="false" ht="35.05" hidden="false" customHeight="false" outlineLevel="0" collapsed="false">
      <c r="A63" s="40" t="s">
        <v>58</v>
      </c>
      <c r="B63" s="40" t="s">
        <v>263</v>
      </c>
      <c r="C63" s="40" t="s">
        <v>53</v>
      </c>
      <c r="D63" s="41" t="n">
        <f aca="false">INDEX(Proximidad!$C$6:$O$18,MATCH(A63,Proximidad!$B$6:$B$18,0),MATCH(C63,Proximidad!$C$5:$O$5,0))</f>
        <v>0</v>
      </c>
      <c r="E63" s="42" t="str">
        <f aca="false">IF(D63&gt;=Supuestos!$B$12,"Cercana",IF(D63&gt;=Supuestos!$B$13,"Media","Lejana"))</f>
        <v>Lejana</v>
      </c>
      <c r="F63" s="43" t="n">
        <f aca="false">INDEX('En común'!$C$6:$O$18,MATCH(A63,'En común'!$B$6:$B$18,0),MATCH(C63,'En común'!$C$5:$O$5,0))</f>
        <v>0</v>
      </c>
      <c r="G63" s="44" t="s">
        <v>220</v>
      </c>
      <c r="H63" s="44" t="s">
        <v>286</v>
      </c>
      <c r="I63" s="40" t="s">
        <v>240</v>
      </c>
    </row>
    <row r="64" customFormat="false" ht="35.05" hidden="false" customHeight="false" outlineLevel="0" collapsed="false">
      <c r="A64" s="40" t="s">
        <v>58</v>
      </c>
      <c r="B64" s="40" t="s">
        <v>265</v>
      </c>
      <c r="C64" s="40" t="s">
        <v>52</v>
      </c>
      <c r="D64" s="41" t="n">
        <f aca="false">INDEX(Proximidad!$C$6:$O$18,MATCH(A64,Proximidad!$B$6:$B$18,0),MATCH(C64,Proximidad!$C$5:$O$5,0))</f>
        <v>0</v>
      </c>
      <c r="E64" s="42" t="str">
        <f aca="false">IF(D64&gt;=Supuestos!$B$12,"Cercana",IF(D64&gt;=Supuestos!$B$13,"Media","Lejana"))</f>
        <v>Lejana</v>
      </c>
      <c r="F64" s="43" t="n">
        <f aca="false">INDEX('En común'!$C$6:$O$18,MATCH(A64,'En común'!$B$6:$B$18,0),MATCH(C64,'En común'!$C$5:$O$5,0))</f>
        <v>0</v>
      </c>
      <c r="G64" s="44" t="s">
        <v>220</v>
      </c>
      <c r="H64" s="44" t="s">
        <v>297</v>
      </c>
      <c r="I64" s="40" t="s">
        <v>240</v>
      </c>
    </row>
    <row r="65" customFormat="false" ht="23.85" hidden="false" customHeight="false" outlineLevel="0" collapsed="false">
      <c r="A65" s="35" t="s">
        <v>67</v>
      </c>
      <c r="B65" s="35" t="s">
        <v>238</v>
      </c>
      <c r="C65" s="35" t="s">
        <v>68</v>
      </c>
      <c r="D65" s="36" t="n">
        <f aca="false">INDEX(Proximidad!$C$6:$O$18,MATCH(A65,Proximidad!$B$6:$B$18,0),MATCH(C65,Proximidad!$C$5:$O$5,0))</f>
        <v>0.333333333333333</v>
      </c>
      <c r="E65" s="37" t="str">
        <f aca="false">IF(D65&gt;=Supuestos!$B$12,"Cercana",IF(D65&gt;=Supuestos!$B$13,"Media","Lejana"))</f>
        <v>Media</v>
      </c>
      <c r="F65" s="38" t="n">
        <f aca="false">INDEX('En común'!$C$6:$O$18,MATCH(A65,'En común'!$B$6:$B$18,0),MATCH(C65,'En común'!$C$5:$O$5,0))</f>
        <v>2</v>
      </c>
      <c r="G65" s="39" t="s">
        <v>69</v>
      </c>
      <c r="H65" s="39" t="s">
        <v>311</v>
      </c>
      <c r="I65" s="35" t="s">
        <v>250</v>
      </c>
    </row>
    <row r="66" customFormat="false" ht="35.05" hidden="false" customHeight="false" outlineLevel="0" collapsed="false">
      <c r="A66" s="40" t="s">
        <v>67</v>
      </c>
      <c r="B66" s="40" t="s">
        <v>241</v>
      </c>
      <c r="C66" s="40" t="s">
        <v>54</v>
      </c>
      <c r="D66" s="41" t="n">
        <f aca="false">INDEX(Proximidad!$C$6:$O$18,MATCH(A66,Proximidad!$B$6:$B$18,0),MATCH(C66,Proximidad!$C$5:$O$5,0))</f>
        <v>0.25</v>
      </c>
      <c r="E66" s="42" t="str">
        <f aca="false">IF(D66&gt;=Supuestos!$B$12,"Cercana",IF(D66&gt;=Supuestos!$B$13,"Media","Lejana"))</f>
        <v>Media</v>
      </c>
      <c r="F66" s="43" t="n">
        <f aca="false">INDEX('En común'!$C$6:$O$18,MATCH(A66,'En común'!$B$6:$B$18,0),MATCH(C66,'En común'!$C$5:$O$5,0))</f>
        <v>1</v>
      </c>
      <c r="G66" s="44" t="s">
        <v>206</v>
      </c>
      <c r="H66" s="44" t="s">
        <v>312</v>
      </c>
      <c r="I66" s="40" t="s">
        <v>240</v>
      </c>
    </row>
    <row r="67" customFormat="false" ht="46.25" hidden="false" customHeight="false" outlineLevel="0" collapsed="false">
      <c r="A67" s="40" t="s">
        <v>67</v>
      </c>
      <c r="B67" s="40" t="s">
        <v>244</v>
      </c>
      <c r="C67" s="40" t="s">
        <v>60</v>
      </c>
      <c r="D67" s="41" t="n">
        <f aca="false">INDEX(Proximidad!$C$6:$O$18,MATCH(A67,Proximidad!$B$6:$B$18,0),MATCH(C67,Proximidad!$C$5:$O$5,0))</f>
        <v>0.230769230769231</v>
      </c>
      <c r="E67" s="42" t="str">
        <f aca="false">IF(D67&gt;=Supuestos!$B$12,"Cercana",IF(D67&gt;=Supuestos!$B$13,"Media","Lejana"))</f>
        <v>Media</v>
      </c>
      <c r="F67" s="43" t="n">
        <f aca="false">INDEX('En común'!$C$6:$O$18,MATCH(A67,'En común'!$B$6:$B$18,0),MATCH(C67,'En común'!$C$5:$O$5,0))</f>
        <v>1</v>
      </c>
      <c r="G67" s="44" t="s">
        <v>206</v>
      </c>
      <c r="H67" s="44" t="s">
        <v>313</v>
      </c>
      <c r="I67" s="40" t="s">
        <v>240</v>
      </c>
    </row>
    <row r="68" customFormat="false" ht="35.05" hidden="false" customHeight="false" outlineLevel="0" collapsed="false">
      <c r="A68" s="40" t="s">
        <v>67</v>
      </c>
      <c r="B68" s="40" t="s">
        <v>247</v>
      </c>
      <c r="C68" s="40" t="s">
        <v>58</v>
      </c>
      <c r="D68" s="41" t="n">
        <f aca="false">INDEX(Proximidad!$C$6:$O$18,MATCH(A68,Proximidad!$B$6:$B$18,0),MATCH(C68,Proximidad!$C$5:$O$5,0))</f>
        <v>0.166666666666667</v>
      </c>
      <c r="E68" s="42" t="str">
        <f aca="false">IF(D68&gt;=Supuestos!$B$12,"Cercana",IF(D68&gt;=Supuestos!$B$13,"Media","Lejana"))</f>
        <v>Lejana</v>
      </c>
      <c r="F68" s="43" t="n">
        <f aca="false">INDEX('En común'!$C$6:$O$18,MATCH(A68,'En común'!$B$6:$B$18,0),MATCH(C68,'En común'!$C$5:$O$5,0))</f>
        <v>1</v>
      </c>
      <c r="G68" s="44" t="s">
        <v>137</v>
      </c>
      <c r="H68" s="44" t="s">
        <v>314</v>
      </c>
      <c r="I68" s="40" t="s">
        <v>250</v>
      </c>
    </row>
    <row r="69" customFormat="false" ht="35.05" hidden="false" customHeight="false" outlineLevel="0" collapsed="false">
      <c r="A69" s="40" t="s">
        <v>67</v>
      </c>
      <c r="B69" s="40" t="s">
        <v>251</v>
      </c>
      <c r="C69" s="40" t="s">
        <v>61</v>
      </c>
      <c r="D69" s="41" t="n">
        <f aca="false">INDEX(Proximidad!$C$6:$O$18,MATCH(A69,Proximidad!$B$6:$B$18,0),MATCH(C69,Proximidad!$C$5:$O$5,0))</f>
        <v>0.0909090909090909</v>
      </c>
      <c r="E69" s="42" t="str">
        <f aca="false">IF(D69&gt;=Supuestos!$B$12,"Cercana",IF(D69&gt;=Supuestos!$B$13,"Media","Lejana"))</f>
        <v>Lejana</v>
      </c>
      <c r="F69" s="43" t="n">
        <f aca="false">INDEX('En común'!$C$6:$O$18,MATCH(A69,'En común'!$B$6:$B$18,0),MATCH(C69,'En común'!$C$5:$O$5,0))</f>
        <v>1</v>
      </c>
      <c r="G69" s="44" t="s">
        <v>188</v>
      </c>
      <c r="H69" s="44" t="s">
        <v>315</v>
      </c>
      <c r="I69" s="40" t="s">
        <v>250</v>
      </c>
    </row>
    <row r="70" customFormat="false" ht="35.05" hidden="false" customHeight="false" outlineLevel="0" collapsed="false">
      <c r="A70" s="40" t="s">
        <v>67</v>
      </c>
      <c r="B70" s="40" t="s">
        <v>253</v>
      </c>
      <c r="C70" s="40" t="s">
        <v>53</v>
      </c>
      <c r="D70" s="41" t="n">
        <f aca="false">INDEX(Proximidad!$C$6:$O$18,MATCH(A70,Proximidad!$B$6:$B$18,0),MATCH(C70,Proximidad!$C$5:$O$5,0))</f>
        <v>0.0769230769230769</v>
      </c>
      <c r="E70" s="42" t="str">
        <f aca="false">IF(D70&gt;=Supuestos!$B$12,"Cercana",IF(D70&gt;=Supuestos!$B$13,"Media","Lejana"))</f>
        <v>Lejana</v>
      </c>
      <c r="F70" s="43" t="n">
        <f aca="false">INDEX('En común'!$C$6:$O$18,MATCH(A70,'En común'!$B$6:$B$18,0),MATCH(C70,'En común'!$C$5:$O$5,0))</f>
        <v>1</v>
      </c>
      <c r="G70" s="44" t="s">
        <v>185</v>
      </c>
      <c r="H70" s="44" t="s">
        <v>316</v>
      </c>
      <c r="I70" s="40" t="s">
        <v>240</v>
      </c>
    </row>
    <row r="71" customFormat="false" ht="35.05" hidden="false" customHeight="false" outlineLevel="0" collapsed="false">
      <c r="A71" s="40" t="s">
        <v>67</v>
      </c>
      <c r="B71" s="40" t="s">
        <v>255</v>
      </c>
      <c r="C71" s="40" t="s">
        <v>57</v>
      </c>
      <c r="D71" s="41" t="n">
        <f aca="false">INDEX(Proximidad!$C$6:$O$18,MATCH(A71,Proximidad!$B$6:$B$18,0),MATCH(C71,Proximidad!$C$5:$O$5,0))</f>
        <v>0</v>
      </c>
      <c r="E71" s="42" t="str">
        <f aca="false">IF(D71&gt;=Supuestos!$B$12,"Cercana",IF(D71&gt;=Supuestos!$B$13,"Media","Lejana"))</f>
        <v>Lejana</v>
      </c>
      <c r="F71" s="43" t="n">
        <f aca="false">INDEX('En común'!$C$6:$O$18,MATCH(A71,'En común'!$B$6:$B$18,0),MATCH(C71,'En común'!$C$5:$O$5,0))</f>
        <v>0</v>
      </c>
      <c r="G71" s="44" t="s">
        <v>220</v>
      </c>
      <c r="H71" s="44" t="s">
        <v>283</v>
      </c>
      <c r="I71" s="40" t="s">
        <v>240</v>
      </c>
    </row>
    <row r="72" customFormat="false" ht="46.25" hidden="false" customHeight="false" outlineLevel="0" collapsed="false">
      <c r="A72" s="40" t="s">
        <v>67</v>
      </c>
      <c r="B72" s="40" t="s">
        <v>257</v>
      </c>
      <c r="C72" s="40" t="s">
        <v>63</v>
      </c>
      <c r="D72" s="41" t="n">
        <f aca="false">INDEX(Proximidad!$C$6:$O$18,MATCH(A72,Proximidad!$B$6:$B$18,0),MATCH(C72,Proximidad!$C$5:$O$5,0))</f>
        <v>0</v>
      </c>
      <c r="E72" s="42" t="str">
        <f aca="false">IF(D72&gt;=Supuestos!$B$12,"Cercana",IF(D72&gt;=Supuestos!$B$13,"Media","Lejana"))</f>
        <v>Lejana</v>
      </c>
      <c r="F72" s="43" t="n">
        <f aca="false">INDEX('En común'!$C$6:$O$18,MATCH(A72,'En común'!$B$6:$B$18,0),MATCH(C72,'En común'!$C$5:$O$5,0))</f>
        <v>0</v>
      </c>
      <c r="G72" s="44" t="s">
        <v>220</v>
      </c>
      <c r="H72" s="44" t="s">
        <v>258</v>
      </c>
      <c r="I72" s="40" t="s">
        <v>250</v>
      </c>
    </row>
    <row r="73" customFormat="false" ht="35.05" hidden="false" customHeight="false" outlineLevel="0" collapsed="false">
      <c r="A73" s="40" t="s">
        <v>67</v>
      </c>
      <c r="B73" s="40" t="s">
        <v>259</v>
      </c>
      <c r="C73" s="40" t="s">
        <v>51</v>
      </c>
      <c r="D73" s="41" t="n">
        <f aca="false">INDEX(Proximidad!$C$6:$O$18,MATCH(A73,Proximidad!$B$6:$B$18,0),MATCH(C73,Proximidad!$C$5:$O$5,0))</f>
        <v>0</v>
      </c>
      <c r="E73" s="42" t="str">
        <f aca="false">IF(D73&gt;=Supuestos!$B$12,"Cercana",IF(D73&gt;=Supuestos!$B$13,"Media","Lejana"))</f>
        <v>Lejana</v>
      </c>
      <c r="F73" s="43" t="n">
        <f aca="false">INDEX('En común'!$C$6:$O$18,MATCH(A73,'En común'!$B$6:$B$18,0),MATCH(C73,'En común'!$C$5:$O$5,0))</f>
        <v>0</v>
      </c>
      <c r="G73" s="44" t="s">
        <v>220</v>
      </c>
      <c r="H73" s="44" t="s">
        <v>284</v>
      </c>
      <c r="I73" s="40" t="s">
        <v>268</v>
      </c>
    </row>
    <row r="74" customFormat="false" ht="46.25" hidden="false" customHeight="false" outlineLevel="0" collapsed="false">
      <c r="A74" s="40" t="s">
        <v>67</v>
      </c>
      <c r="B74" s="40" t="s">
        <v>261</v>
      </c>
      <c r="C74" s="40" t="s">
        <v>64</v>
      </c>
      <c r="D74" s="41" t="n">
        <f aca="false">INDEX(Proximidad!$C$6:$O$18,MATCH(A74,Proximidad!$B$6:$B$18,0),MATCH(C74,Proximidad!$C$5:$O$5,0))</f>
        <v>0</v>
      </c>
      <c r="E74" s="42" t="str">
        <f aca="false">IF(D74&gt;=Supuestos!$B$12,"Cercana",IF(D74&gt;=Supuestos!$B$13,"Media","Lejana"))</f>
        <v>Lejana</v>
      </c>
      <c r="F74" s="43" t="n">
        <f aca="false">INDEX('En común'!$C$6:$O$18,MATCH(A74,'En común'!$B$6:$B$18,0),MATCH(C74,'En común'!$C$5:$O$5,0))</f>
        <v>0</v>
      </c>
      <c r="G74" s="44" t="s">
        <v>220</v>
      </c>
      <c r="H74" s="44" t="s">
        <v>274</v>
      </c>
      <c r="I74" s="40" t="s">
        <v>250</v>
      </c>
    </row>
    <row r="75" customFormat="false" ht="46.25" hidden="false" customHeight="false" outlineLevel="0" collapsed="false">
      <c r="A75" s="40" t="s">
        <v>67</v>
      </c>
      <c r="B75" s="40" t="s">
        <v>263</v>
      </c>
      <c r="C75" s="40" t="s">
        <v>55</v>
      </c>
      <c r="D75" s="41" t="n">
        <f aca="false">INDEX(Proximidad!$C$6:$O$18,MATCH(A75,Proximidad!$B$6:$B$18,0),MATCH(C75,Proximidad!$C$5:$O$5,0))</f>
        <v>0</v>
      </c>
      <c r="E75" s="42" t="str">
        <f aca="false">IF(D75&gt;=Supuestos!$B$12,"Cercana",IF(D75&gt;=Supuestos!$B$13,"Media","Lejana"))</f>
        <v>Lejana</v>
      </c>
      <c r="F75" s="43" t="n">
        <f aca="false">INDEX('En común'!$C$6:$O$18,MATCH(A75,'En común'!$B$6:$B$18,0),MATCH(C75,'En común'!$C$5:$O$5,0))</f>
        <v>0</v>
      </c>
      <c r="G75" s="44" t="s">
        <v>220</v>
      </c>
      <c r="H75" s="44" t="s">
        <v>266</v>
      </c>
      <c r="I75" s="40" t="s">
        <v>240</v>
      </c>
    </row>
    <row r="76" customFormat="false" ht="35.05" hidden="false" customHeight="false" outlineLevel="0" collapsed="false">
      <c r="A76" s="40" t="s">
        <v>67</v>
      </c>
      <c r="B76" s="40" t="s">
        <v>265</v>
      </c>
      <c r="C76" s="40" t="s">
        <v>52</v>
      </c>
      <c r="D76" s="41" t="n">
        <f aca="false">INDEX(Proximidad!$C$6:$O$18,MATCH(A76,Proximidad!$B$6:$B$18,0),MATCH(C76,Proximidad!$C$5:$O$5,0))</f>
        <v>0</v>
      </c>
      <c r="E76" s="42" t="str">
        <f aca="false">IF(D76&gt;=Supuestos!$B$12,"Cercana",IF(D76&gt;=Supuestos!$B$13,"Media","Lejana"))</f>
        <v>Lejana</v>
      </c>
      <c r="F76" s="43" t="n">
        <f aca="false">INDEX('En común'!$C$6:$O$18,MATCH(A76,'En común'!$B$6:$B$18,0),MATCH(C76,'En común'!$C$5:$O$5,0))</f>
        <v>0</v>
      </c>
      <c r="G76" s="44" t="s">
        <v>220</v>
      </c>
      <c r="H76" s="44" t="s">
        <v>297</v>
      </c>
      <c r="I76" s="40" t="s">
        <v>240</v>
      </c>
    </row>
    <row r="77" customFormat="false" ht="23.85" hidden="false" customHeight="false" outlineLevel="0" collapsed="false">
      <c r="A77" s="35" t="s">
        <v>53</v>
      </c>
      <c r="B77" s="35" t="s">
        <v>238</v>
      </c>
      <c r="C77" s="35" t="s">
        <v>51</v>
      </c>
      <c r="D77" s="36" t="n">
        <f aca="false">INDEX(Proximidad!$C$6:$O$18,MATCH(A77,Proximidad!$B$6:$B$18,0),MATCH(C77,Proximidad!$C$5:$O$5,0))</f>
        <v>0.384615384615385</v>
      </c>
      <c r="E77" s="37" t="str">
        <f aca="false">IF(D77&gt;=Supuestos!$B$12,"Cercana",IF(D77&gt;=Supuestos!$B$13,"Media","Lejana"))</f>
        <v>Media</v>
      </c>
      <c r="F77" s="38" t="n">
        <f aca="false">INDEX('En común'!$C$6:$O$18,MATCH(A77,'En común'!$B$6:$B$18,0),MATCH(C77,'En común'!$C$5:$O$5,0))</f>
        <v>3</v>
      </c>
      <c r="G77" s="39" t="s">
        <v>70</v>
      </c>
      <c r="H77" s="39" t="s">
        <v>317</v>
      </c>
      <c r="I77" s="35" t="s">
        <v>268</v>
      </c>
    </row>
    <row r="78" customFormat="false" ht="23.85" hidden="false" customHeight="false" outlineLevel="0" collapsed="false">
      <c r="A78" s="40" t="s">
        <v>53</v>
      </c>
      <c r="B78" s="40" t="s">
        <v>241</v>
      </c>
      <c r="C78" s="40" t="s">
        <v>52</v>
      </c>
      <c r="D78" s="41" t="n">
        <f aca="false">INDEX(Proximidad!$C$6:$O$18,MATCH(A78,Proximidad!$B$6:$B$18,0),MATCH(C78,Proximidad!$C$5:$O$5,0))</f>
        <v>0.357142857142857</v>
      </c>
      <c r="E78" s="42" t="str">
        <f aca="false">IF(D78&gt;=Supuestos!$B$12,"Cercana",IF(D78&gt;=Supuestos!$B$13,"Media","Lejana"))</f>
        <v>Media</v>
      </c>
      <c r="F78" s="43" t="n">
        <f aca="false">INDEX('En común'!$C$6:$O$18,MATCH(A78,'En común'!$B$6:$B$18,0),MATCH(C78,'En común'!$C$5:$O$5,0))</f>
        <v>3</v>
      </c>
      <c r="G78" s="44" t="s">
        <v>318</v>
      </c>
      <c r="H78" s="44" t="s">
        <v>319</v>
      </c>
      <c r="I78" s="40" t="s">
        <v>240</v>
      </c>
    </row>
    <row r="79" customFormat="false" ht="23.85" hidden="false" customHeight="false" outlineLevel="0" collapsed="false">
      <c r="A79" s="40" t="s">
        <v>53</v>
      </c>
      <c r="B79" s="40" t="s">
        <v>244</v>
      </c>
      <c r="C79" s="40" t="s">
        <v>68</v>
      </c>
      <c r="D79" s="41" t="n">
        <f aca="false">INDEX(Proximidad!$C$6:$O$18,MATCH(A79,Proximidad!$B$6:$B$18,0),MATCH(C79,Proximidad!$C$5:$O$5,0))</f>
        <v>0.333333333333333</v>
      </c>
      <c r="E79" s="42" t="str">
        <f aca="false">IF(D79&gt;=Supuestos!$B$12,"Cercana",IF(D79&gt;=Supuestos!$B$13,"Media","Lejana"))</f>
        <v>Media</v>
      </c>
      <c r="F79" s="43" t="n">
        <f aca="false">INDEX('En común'!$C$6:$O$18,MATCH(A79,'En común'!$B$6:$B$18,0),MATCH(C79,'En común'!$C$5:$O$5,0))</f>
        <v>2</v>
      </c>
      <c r="G79" s="44" t="s">
        <v>320</v>
      </c>
      <c r="H79" s="44" t="s">
        <v>321</v>
      </c>
      <c r="I79" s="40" t="s">
        <v>250</v>
      </c>
    </row>
    <row r="80" customFormat="false" ht="35.05" hidden="false" customHeight="false" outlineLevel="0" collapsed="false">
      <c r="A80" s="40" t="s">
        <v>53</v>
      </c>
      <c r="B80" s="40" t="s">
        <v>247</v>
      </c>
      <c r="C80" s="40" t="s">
        <v>57</v>
      </c>
      <c r="D80" s="41" t="n">
        <f aca="false">INDEX(Proximidad!$C$6:$O$18,MATCH(A80,Proximidad!$B$6:$B$18,0),MATCH(C80,Proximidad!$C$5:$O$5,0))</f>
        <v>0.214285714285714</v>
      </c>
      <c r="E80" s="42" t="str">
        <f aca="false">IF(D80&gt;=Supuestos!$B$12,"Cercana",IF(D80&gt;=Supuestos!$B$13,"Media","Lejana"))</f>
        <v>Media</v>
      </c>
      <c r="F80" s="43" t="n">
        <f aca="false">INDEX('En común'!$C$6:$O$18,MATCH(A80,'En común'!$B$6:$B$18,0),MATCH(C80,'En común'!$C$5:$O$5,0))</f>
        <v>2</v>
      </c>
      <c r="G80" s="44" t="s">
        <v>322</v>
      </c>
      <c r="H80" s="44" t="s">
        <v>323</v>
      </c>
      <c r="I80" s="40" t="s">
        <v>240</v>
      </c>
    </row>
    <row r="81" customFormat="false" ht="35.05" hidden="false" customHeight="false" outlineLevel="0" collapsed="false">
      <c r="A81" s="40" t="s">
        <v>53</v>
      </c>
      <c r="B81" s="40" t="s">
        <v>251</v>
      </c>
      <c r="C81" s="40" t="s">
        <v>54</v>
      </c>
      <c r="D81" s="41" t="n">
        <f aca="false">INDEX(Proximidad!$C$6:$O$18,MATCH(A81,Proximidad!$B$6:$B$18,0),MATCH(C81,Proximidad!$C$5:$O$5,0))</f>
        <v>0.166666666666667</v>
      </c>
      <c r="E81" s="42" t="str">
        <f aca="false">IF(D81&gt;=Supuestos!$B$12,"Cercana",IF(D81&gt;=Supuestos!$B$13,"Media","Lejana"))</f>
        <v>Lejana</v>
      </c>
      <c r="F81" s="43" t="n">
        <f aca="false">INDEX('En común'!$C$6:$O$18,MATCH(A81,'En común'!$B$6:$B$18,0),MATCH(C81,'En común'!$C$5:$O$5,0))</f>
        <v>1</v>
      </c>
      <c r="G81" s="44" t="s">
        <v>107</v>
      </c>
      <c r="H81" s="44" t="s">
        <v>271</v>
      </c>
      <c r="I81" s="40" t="s">
        <v>240</v>
      </c>
    </row>
    <row r="82" customFormat="false" ht="35.05" hidden="false" customHeight="false" outlineLevel="0" collapsed="false">
      <c r="A82" s="40" t="s">
        <v>53</v>
      </c>
      <c r="B82" s="40" t="s">
        <v>253</v>
      </c>
      <c r="C82" s="40" t="s">
        <v>67</v>
      </c>
      <c r="D82" s="41" t="n">
        <f aca="false">INDEX(Proximidad!$C$6:$O$18,MATCH(A82,Proximidad!$B$6:$B$18,0),MATCH(C82,Proximidad!$C$5:$O$5,0))</f>
        <v>0.0769230769230769</v>
      </c>
      <c r="E82" s="42" t="str">
        <f aca="false">IF(D82&gt;=Supuestos!$B$12,"Cercana",IF(D82&gt;=Supuestos!$B$13,"Media","Lejana"))</f>
        <v>Lejana</v>
      </c>
      <c r="F82" s="43" t="n">
        <f aca="false">INDEX('En común'!$C$6:$O$18,MATCH(A82,'En común'!$B$6:$B$18,0),MATCH(C82,'En común'!$C$5:$O$5,0))</f>
        <v>1</v>
      </c>
      <c r="G82" s="44" t="s">
        <v>185</v>
      </c>
      <c r="H82" s="44" t="s">
        <v>324</v>
      </c>
      <c r="I82" s="40" t="s">
        <v>240</v>
      </c>
    </row>
    <row r="83" customFormat="false" ht="46.25" hidden="false" customHeight="false" outlineLevel="0" collapsed="false">
      <c r="A83" s="40" t="s">
        <v>53</v>
      </c>
      <c r="B83" s="40" t="s">
        <v>255</v>
      </c>
      <c r="C83" s="40" t="s">
        <v>63</v>
      </c>
      <c r="D83" s="41" t="n">
        <f aca="false">INDEX(Proximidad!$C$6:$O$18,MATCH(A83,Proximidad!$B$6:$B$18,0),MATCH(C83,Proximidad!$C$5:$O$5,0))</f>
        <v>0</v>
      </c>
      <c r="E83" s="42" t="str">
        <f aca="false">IF(D83&gt;=Supuestos!$B$12,"Cercana",IF(D83&gt;=Supuestos!$B$13,"Media","Lejana"))</f>
        <v>Lejana</v>
      </c>
      <c r="F83" s="43" t="n">
        <f aca="false">INDEX('En común'!$C$6:$O$18,MATCH(A83,'En común'!$B$6:$B$18,0),MATCH(C83,'En común'!$C$5:$O$5,0))</f>
        <v>0</v>
      </c>
      <c r="G83" s="44" t="s">
        <v>220</v>
      </c>
      <c r="H83" s="44" t="s">
        <v>258</v>
      </c>
      <c r="I83" s="40" t="s">
        <v>250</v>
      </c>
    </row>
    <row r="84" customFormat="false" ht="46.25" hidden="false" customHeight="false" outlineLevel="0" collapsed="false">
      <c r="A84" s="40" t="s">
        <v>53</v>
      </c>
      <c r="B84" s="40" t="s">
        <v>257</v>
      </c>
      <c r="C84" s="40" t="s">
        <v>60</v>
      </c>
      <c r="D84" s="41" t="n">
        <f aca="false">INDEX(Proximidad!$C$6:$O$18,MATCH(A84,Proximidad!$B$6:$B$18,0),MATCH(C84,Proximidad!$C$5:$O$5,0))</f>
        <v>0</v>
      </c>
      <c r="E84" s="42" t="str">
        <f aca="false">IF(D84&gt;=Supuestos!$B$12,"Cercana",IF(D84&gt;=Supuestos!$B$13,"Media","Lejana"))</f>
        <v>Lejana</v>
      </c>
      <c r="F84" s="43" t="n">
        <f aca="false">INDEX('En común'!$C$6:$O$18,MATCH(A84,'En común'!$B$6:$B$18,0),MATCH(C84,'En común'!$C$5:$O$5,0))</f>
        <v>0</v>
      </c>
      <c r="G84" s="44" t="s">
        <v>220</v>
      </c>
      <c r="H84" s="44" t="s">
        <v>260</v>
      </c>
      <c r="I84" s="40" t="s">
        <v>240</v>
      </c>
    </row>
    <row r="85" customFormat="false" ht="46.25" hidden="false" customHeight="false" outlineLevel="0" collapsed="false">
      <c r="A85" s="40" t="s">
        <v>53</v>
      </c>
      <c r="B85" s="40" t="s">
        <v>259</v>
      </c>
      <c r="C85" s="40" t="s">
        <v>64</v>
      </c>
      <c r="D85" s="41" t="n">
        <f aca="false">INDEX(Proximidad!$C$6:$O$18,MATCH(A85,Proximidad!$B$6:$B$18,0),MATCH(C85,Proximidad!$C$5:$O$5,0))</f>
        <v>0</v>
      </c>
      <c r="E85" s="42" t="str">
        <f aca="false">IF(D85&gt;=Supuestos!$B$12,"Cercana",IF(D85&gt;=Supuestos!$B$13,"Media","Lejana"))</f>
        <v>Lejana</v>
      </c>
      <c r="F85" s="43" t="n">
        <f aca="false">INDEX('En común'!$C$6:$O$18,MATCH(A85,'En común'!$B$6:$B$18,0),MATCH(C85,'En común'!$C$5:$O$5,0))</f>
        <v>0</v>
      </c>
      <c r="G85" s="44" t="s">
        <v>220</v>
      </c>
      <c r="H85" s="44" t="s">
        <v>274</v>
      </c>
      <c r="I85" s="40" t="s">
        <v>250</v>
      </c>
    </row>
    <row r="86" customFormat="false" ht="46.25" hidden="false" customHeight="false" outlineLevel="0" collapsed="false">
      <c r="A86" s="40" t="s">
        <v>53</v>
      </c>
      <c r="B86" s="40" t="s">
        <v>261</v>
      </c>
      <c r="C86" s="40" t="s">
        <v>61</v>
      </c>
      <c r="D86" s="41" t="n">
        <f aca="false">INDEX(Proximidad!$C$6:$O$18,MATCH(A86,Proximidad!$B$6:$B$18,0),MATCH(C86,Proximidad!$C$5:$O$5,0))</f>
        <v>0</v>
      </c>
      <c r="E86" s="42" t="str">
        <f aca="false">IF(D86&gt;=Supuestos!$B$12,"Cercana",IF(D86&gt;=Supuestos!$B$13,"Media","Lejana"))</f>
        <v>Lejana</v>
      </c>
      <c r="F86" s="43" t="n">
        <f aca="false">INDEX('En común'!$C$6:$O$18,MATCH(A86,'En común'!$B$6:$B$18,0),MATCH(C86,'En común'!$C$5:$O$5,0))</f>
        <v>0</v>
      </c>
      <c r="G86" s="44" t="s">
        <v>220</v>
      </c>
      <c r="H86" s="44" t="s">
        <v>264</v>
      </c>
      <c r="I86" s="40" t="s">
        <v>250</v>
      </c>
    </row>
    <row r="87" customFormat="false" ht="46.25" hidden="false" customHeight="false" outlineLevel="0" collapsed="false">
      <c r="A87" s="40" t="s">
        <v>53</v>
      </c>
      <c r="B87" s="40" t="s">
        <v>263</v>
      </c>
      <c r="C87" s="40" t="s">
        <v>58</v>
      </c>
      <c r="D87" s="41" t="n">
        <f aca="false">INDEX(Proximidad!$C$6:$O$18,MATCH(A87,Proximidad!$B$6:$B$18,0),MATCH(C87,Proximidad!$C$5:$O$5,0))</f>
        <v>0</v>
      </c>
      <c r="E87" s="42" t="str">
        <f aca="false">IF(D87&gt;=Supuestos!$B$12,"Cercana",IF(D87&gt;=Supuestos!$B$13,"Media","Lejana"))</f>
        <v>Lejana</v>
      </c>
      <c r="F87" s="43" t="n">
        <f aca="false">INDEX('En común'!$C$6:$O$18,MATCH(A87,'En común'!$B$6:$B$18,0),MATCH(C87,'En común'!$C$5:$O$5,0))</f>
        <v>0</v>
      </c>
      <c r="G87" s="44" t="s">
        <v>220</v>
      </c>
      <c r="H87" s="44" t="s">
        <v>275</v>
      </c>
      <c r="I87" s="40" t="s">
        <v>250</v>
      </c>
    </row>
    <row r="88" customFormat="false" ht="46.25" hidden="false" customHeight="false" outlineLevel="0" collapsed="false">
      <c r="A88" s="40" t="s">
        <v>53</v>
      </c>
      <c r="B88" s="40" t="s">
        <v>265</v>
      </c>
      <c r="C88" s="40" t="s">
        <v>55</v>
      </c>
      <c r="D88" s="41" t="n">
        <f aca="false">INDEX(Proximidad!$C$6:$O$18,MATCH(A88,Proximidad!$B$6:$B$18,0),MATCH(C88,Proximidad!$C$5:$O$5,0))</f>
        <v>0</v>
      </c>
      <c r="E88" s="42" t="str">
        <f aca="false">IF(D88&gt;=Supuestos!$B$12,"Cercana",IF(D88&gt;=Supuestos!$B$13,"Media","Lejana"))</f>
        <v>Lejana</v>
      </c>
      <c r="F88" s="43" t="n">
        <f aca="false">INDEX('En común'!$C$6:$O$18,MATCH(A88,'En común'!$B$6:$B$18,0),MATCH(C88,'En común'!$C$5:$O$5,0))</f>
        <v>0</v>
      </c>
      <c r="G88" s="44" t="s">
        <v>220</v>
      </c>
      <c r="H88" s="44" t="s">
        <v>266</v>
      </c>
      <c r="I88" s="40" t="s">
        <v>240</v>
      </c>
    </row>
    <row r="89" customFormat="false" ht="23.85" hidden="false" customHeight="false" outlineLevel="0" collapsed="false">
      <c r="A89" s="35" t="s">
        <v>60</v>
      </c>
      <c r="B89" s="35" t="s">
        <v>238</v>
      </c>
      <c r="C89" s="35" t="s">
        <v>55</v>
      </c>
      <c r="D89" s="36" t="n">
        <f aca="false">INDEX(Proximidad!$C$6:$O$18,MATCH(A89,Proximidad!$B$6:$B$18,0),MATCH(C89,Proximidad!$C$5:$O$5,0))</f>
        <v>0.461538461538462</v>
      </c>
      <c r="E89" s="37" t="str">
        <f aca="false">IF(D89&gt;=Supuestos!$B$12,"Cercana",IF(D89&gt;=Supuestos!$B$13,"Media","Lejana"))</f>
        <v>Cercana</v>
      </c>
      <c r="F89" s="38" t="n">
        <f aca="false">INDEX('En común'!$C$6:$O$18,MATCH(A89,'En común'!$B$6:$B$18,0),MATCH(C89,'En común'!$C$5:$O$5,0))</f>
        <v>4</v>
      </c>
      <c r="G89" s="39" t="s">
        <v>71</v>
      </c>
      <c r="H89" s="39" t="s">
        <v>325</v>
      </c>
      <c r="I89" s="35" t="s">
        <v>240</v>
      </c>
    </row>
    <row r="90" customFormat="false" ht="23.85" hidden="false" customHeight="false" outlineLevel="0" collapsed="false">
      <c r="A90" s="40" t="s">
        <v>60</v>
      </c>
      <c r="B90" s="40" t="s">
        <v>241</v>
      </c>
      <c r="C90" s="40" t="s">
        <v>61</v>
      </c>
      <c r="D90" s="41" t="n">
        <f aca="false">INDEX(Proximidad!$C$6:$O$18,MATCH(A90,Proximidad!$B$6:$B$18,0),MATCH(C90,Proximidad!$C$5:$O$5,0))</f>
        <v>0.363636363636364</v>
      </c>
      <c r="E90" s="42" t="str">
        <f aca="false">IF(D90&gt;=Supuestos!$B$12,"Cercana",IF(D90&gt;=Supuestos!$B$13,"Media","Lejana"))</f>
        <v>Media</v>
      </c>
      <c r="F90" s="43" t="n">
        <f aca="false">INDEX('En común'!$C$6:$O$18,MATCH(A90,'En común'!$B$6:$B$18,0),MATCH(C90,'En común'!$C$5:$O$5,0))</f>
        <v>3</v>
      </c>
      <c r="G90" s="44" t="s">
        <v>326</v>
      </c>
      <c r="H90" s="44" t="s">
        <v>327</v>
      </c>
      <c r="I90" s="40" t="s">
        <v>250</v>
      </c>
    </row>
    <row r="91" customFormat="false" ht="35.05" hidden="false" customHeight="false" outlineLevel="0" collapsed="false">
      <c r="A91" s="40" t="s">
        <v>60</v>
      </c>
      <c r="B91" s="40" t="s">
        <v>244</v>
      </c>
      <c r="C91" s="40" t="s">
        <v>64</v>
      </c>
      <c r="D91" s="41" t="n">
        <f aca="false">INDEX(Proximidad!$C$6:$O$18,MATCH(A91,Proximidad!$B$6:$B$18,0),MATCH(C91,Proximidad!$C$5:$O$5,0))</f>
        <v>0.333333333333333</v>
      </c>
      <c r="E91" s="42" t="str">
        <f aca="false">IF(D91&gt;=Supuestos!$B$12,"Cercana",IF(D91&gt;=Supuestos!$B$13,"Media","Lejana"))</f>
        <v>Media</v>
      </c>
      <c r="F91" s="43" t="n">
        <f aca="false">INDEX('En común'!$C$6:$O$18,MATCH(A91,'En común'!$B$6:$B$18,0),MATCH(C91,'En común'!$C$5:$O$5,0))</f>
        <v>2</v>
      </c>
      <c r="G91" s="44" t="s">
        <v>328</v>
      </c>
      <c r="H91" s="44" t="s">
        <v>329</v>
      </c>
      <c r="I91" s="40" t="s">
        <v>250</v>
      </c>
    </row>
    <row r="92" customFormat="false" ht="35.05" hidden="false" customHeight="false" outlineLevel="0" collapsed="false">
      <c r="A92" s="40" t="s">
        <v>60</v>
      </c>
      <c r="B92" s="40" t="s">
        <v>247</v>
      </c>
      <c r="C92" s="40" t="s">
        <v>54</v>
      </c>
      <c r="D92" s="41" t="n">
        <f aca="false">INDEX(Proximidad!$C$6:$O$18,MATCH(A92,Proximidad!$B$6:$B$18,0),MATCH(C92,Proximidad!$C$5:$O$5,0))</f>
        <v>0.333333333333333</v>
      </c>
      <c r="E92" s="42" t="str">
        <f aca="false">IF(D92&gt;=Supuestos!$B$12,"Cercana",IF(D92&gt;=Supuestos!$B$13,"Media","Lejana"))</f>
        <v>Media</v>
      </c>
      <c r="F92" s="43" t="n">
        <f aca="false">INDEX('En común'!$C$6:$O$18,MATCH(A92,'En común'!$B$6:$B$18,0),MATCH(C92,'En común'!$C$5:$O$5,0))</f>
        <v>2</v>
      </c>
      <c r="G92" s="44" t="s">
        <v>72</v>
      </c>
      <c r="H92" s="44" t="s">
        <v>330</v>
      </c>
      <c r="I92" s="40" t="s">
        <v>240</v>
      </c>
    </row>
    <row r="93" customFormat="false" ht="35.05" hidden="false" customHeight="false" outlineLevel="0" collapsed="false">
      <c r="A93" s="40" t="s">
        <v>60</v>
      </c>
      <c r="B93" s="40" t="s">
        <v>251</v>
      </c>
      <c r="C93" s="40" t="s">
        <v>58</v>
      </c>
      <c r="D93" s="41" t="n">
        <f aca="false">INDEX(Proximidad!$C$6:$O$18,MATCH(A93,Proximidad!$B$6:$B$18,0),MATCH(C93,Proximidad!$C$5:$O$5,0))</f>
        <v>0.25</v>
      </c>
      <c r="E93" s="42" t="str">
        <f aca="false">IF(D93&gt;=Supuestos!$B$12,"Cercana",IF(D93&gt;=Supuestos!$B$13,"Media","Lejana"))</f>
        <v>Media</v>
      </c>
      <c r="F93" s="43" t="n">
        <f aca="false">INDEX('En común'!$C$6:$O$18,MATCH(A93,'En común'!$B$6:$B$18,0),MATCH(C93,'En común'!$C$5:$O$5,0))</f>
        <v>2</v>
      </c>
      <c r="G93" s="44" t="s">
        <v>299</v>
      </c>
      <c r="H93" s="44" t="s">
        <v>331</v>
      </c>
      <c r="I93" s="40" t="s">
        <v>250</v>
      </c>
    </row>
    <row r="94" customFormat="false" ht="35.05" hidden="false" customHeight="false" outlineLevel="0" collapsed="false">
      <c r="A94" s="40" t="s">
        <v>60</v>
      </c>
      <c r="B94" s="40" t="s">
        <v>253</v>
      </c>
      <c r="C94" s="40" t="s">
        <v>63</v>
      </c>
      <c r="D94" s="41" t="n">
        <f aca="false">INDEX(Proximidad!$C$6:$O$18,MATCH(A94,Proximidad!$B$6:$B$18,0),MATCH(C94,Proximidad!$C$5:$O$5,0))</f>
        <v>0.230769230769231</v>
      </c>
      <c r="E94" s="42" t="str">
        <f aca="false">IF(D94&gt;=Supuestos!$B$12,"Cercana",IF(D94&gt;=Supuestos!$B$13,"Media","Lejana"))</f>
        <v>Media</v>
      </c>
      <c r="F94" s="43" t="n">
        <f aca="false">INDEX('En común'!$C$6:$O$18,MATCH(A94,'En común'!$B$6:$B$18,0),MATCH(C94,'En común'!$C$5:$O$5,0))</f>
        <v>2</v>
      </c>
      <c r="G94" s="44" t="s">
        <v>290</v>
      </c>
      <c r="H94" s="44" t="s">
        <v>332</v>
      </c>
      <c r="I94" s="40" t="s">
        <v>250</v>
      </c>
    </row>
    <row r="95" customFormat="false" ht="35.05" hidden="false" customHeight="false" outlineLevel="0" collapsed="false">
      <c r="A95" s="40" t="s">
        <v>60</v>
      </c>
      <c r="B95" s="40" t="s">
        <v>255</v>
      </c>
      <c r="C95" s="40" t="s">
        <v>67</v>
      </c>
      <c r="D95" s="41" t="n">
        <f aca="false">INDEX(Proximidad!$C$6:$O$18,MATCH(A95,Proximidad!$B$6:$B$18,0),MATCH(C95,Proximidad!$C$5:$O$5,0))</f>
        <v>0.230769230769231</v>
      </c>
      <c r="E95" s="42" t="str">
        <f aca="false">IF(D95&gt;=Supuestos!$B$12,"Cercana",IF(D95&gt;=Supuestos!$B$13,"Media","Lejana"))</f>
        <v>Media</v>
      </c>
      <c r="F95" s="43" t="n">
        <f aca="false">INDEX('En común'!$C$6:$O$18,MATCH(A95,'En común'!$B$6:$B$18,0),MATCH(C95,'En común'!$C$5:$O$5,0))</f>
        <v>1</v>
      </c>
      <c r="G95" s="44" t="s">
        <v>206</v>
      </c>
      <c r="H95" s="44" t="s">
        <v>333</v>
      </c>
      <c r="I95" s="40" t="s">
        <v>240</v>
      </c>
    </row>
    <row r="96" customFormat="false" ht="35.05" hidden="false" customHeight="false" outlineLevel="0" collapsed="false">
      <c r="A96" s="40" t="s">
        <v>60</v>
      </c>
      <c r="B96" s="40" t="s">
        <v>257</v>
      </c>
      <c r="C96" s="40" t="s">
        <v>57</v>
      </c>
      <c r="D96" s="41" t="n">
        <f aca="false">INDEX(Proximidad!$C$6:$O$18,MATCH(A96,Proximidad!$B$6:$B$18,0),MATCH(C96,Proximidad!$C$5:$O$5,0))</f>
        <v>0.142857142857143</v>
      </c>
      <c r="E96" s="42" t="str">
        <f aca="false">IF(D96&gt;=Supuestos!$B$12,"Cercana",IF(D96&gt;=Supuestos!$B$13,"Media","Lejana"))</f>
        <v>Lejana</v>
      </c>
      <c r="F96" s="43" t="n">
        <f aca="false">INDEX('En común'!$C$6:$O$18,MATCH(A96,'En común'!$B$6:$B$18,0),MATCH(C96,'En común'!$C$5:$O$5,0))</f>
        <v>1</v>
      </c>
      <c r="G96" s="44" t="s">
        <v>152</v>
      </c>
      <c r="H96" s="44" t="s">
        <v>334</v>
      </c>
      <c r="I96" s="40" t="s">
        <v>240</v>
      </c>
    </row>
    <row r="97" customFormat="false" ht="35.05" hidden="false" customHeight="false" outlineLevel="0" collapsed="false">
      <c r="A97" s="40" t="s">
        <v>60</v>
      </c>
      <c r="B97" s="40" t="s">
        <v>259</v>
      </c>
      <c r="C97" s="40" t="s">
        <v>51</v>
      </c>
      <c r="D97" s="41" t="n">
        <f aca="false">INDEX(Proximidad!$C$6:$O$18,MATCH(A97,Proximidad!$B$6:$B$18,0),MATCH(C97,Proximidad!$C$5:$O$5,0))</f>
        <v>0</v>
      </c>
      <c r="E97" s="42" t="str">
        <f aca="false">IF(D97&gt;=Supuestos!$B$12,"Cercana",IF(D97&gt;=Supuestos!$B$13,"Media","Lejana"))</f>
        <v>Lejana</v>
      </c>
      <c r="F97" s="43" t="n">
        <f aca="false">INDEX('En común'!$C$6:$O$18,MATCH(A97,'En común'!$B$6:$B$18,0),MATCH(C97,'En común'!$C$5:$O$5,0))</f>
        <v>0</v>
      </c>
      <c r="G97" s="44" t="s">
        <v>220</v>
      </c>
      <c r="H97" s="44" t="s">
        <v>284</v>
      </c>
      <c r="I97" s="40" t="s">
        <v>268</v>
      </c>
    </row>
    <row r="98" customFormat="false" ht="35.05" hidden="false" customHeight="false" outlineLevel="0" collapsed="false">
      <c r="A98" s="40" t="s">
        <v>60</v>
      </c>
      <c r="B98" s="40" t="s">
        <v>261</v>
      </c>
      <c r="C98" s="40" t="s">
        <v>68</v>
      </c>
      <c r="D98" s="41" t="n">
        <f aca="false">INDEX(Proximidad!$C$6:$O$18,MATCH(A98,Proximidad!$B$6:$B$18,0),MATCH(C98,Proximidad!$C$5:$O$5,0))</f>
        <v>0</v>
      </c>
      <c r="E98" s="42" t="str">
        <f aca="false">IF(D98&gt;=Supuestos!$B$12,"Cercana",IF(D98&gt;=Supuestos!$B$13,"Media","Lejana"))</f>
        <v>Lejana</v>
      </c>
      <c r="F98" s="43" t="n">
        <f aca="false">INDEX('En común'!$C$6:$O$18,MATCH(A98,'En común'!$B$6:$B$18,0),MATCH(C98,'En común'!$C$5:$O$5,0))</f>
        <v>0</v>
      </c>
      <c r="G98" s="44" t="s">
        <v>220</v>
      </c>
      <c r="H98" s="44" t="s">
        <v>285</v>
      </c>
      <c r="I98" s="40" t="s">
        <v>250</v>
      </c>
    </row>
    <row r="99" customFormat="false" ht="35.05" hidden="false" customHeight="false" outlineLevel="0" collapsed="false">
      <c r="A99" s="40" t="s">
        <v>60</v>
      </c>
      <c r="B99" s="40" t="s">
        <v>263</v>
      </c>
      <c r="C99" s="40" t="s">
        <v>53</v>
      </c>
      <c r="D99" s="41" t="n">
        <f aca="false">INDEX(Proximidad!$C$6:$O$18,MATCH(A99,Proximidad!$B$6:$B$18,0),MATCH(C99,Proximidad!$C$5:$O$5,0))</f>
        <v>0</v>
      </c>
      <c r="E99" s="42" t="str">
        <f aca="false">IF(D99&gt;=Supuestos!$B$12,"Cercana",IF(D99&gt;=Supuestos!$B$13,"Media","Lejana"))</f>
        <v>Lejana</v>
      </c>
      <c r="F99" s="43" t="n">
        <f aca="false">INDEX('En común'!$C$6:$O$18,MATCH(A99,'En común'!$B$6:$B$18,0),MATCH(C99,'En común'!$C$5:$O$5,0))</f>
        <v>0</v>
      </c>
      <c r="G99" s="44" t="s">
        <v>220</v>
      </c>
      <c r="H99" s="44" t="s">
        <v>286</v>
      </c>
      <c r="I99" s="40" t="s">
        <v>240</v>
      </c>
    </row>
    <row r="100" customFormat="false" ht="35.05" hidden="false" customHeight="false" outlineLevel="0" collapsed="false">
      <c r="A100" s="40" t="s">
        <v>60</v>
      </c>
      <c r="B100" s="40" t="s">
        <v>265</v>
      </c>
      <c r="C100" s="40" t="s">
        <v>52</v>
      </c>
      <c r="D100" s="41" t="n">
        <f aca="false">INDEX(Proximidad!$C$6:$O$18,MATCH(A100,Proximidad!$B$6:$B$18,0),MATCH(C100,Proximidad!$C$5:$O$5,0))</f>
        <v>0</v>
      </c>
      <c r="E100" s="42" t="str">
        <f aca="false">IF(D100&gt;=Supuestos!$B$12,"Cercana",IF(D100&gt;=Supuestos!$B$13,"Media","Lejana"))</f>
        <v>Lejana</v>
      </c>
      <c r="F100" s="43" t="n">
        <f aca="false">INDEX('En común'!$C$6:$O$18,MATCH(A100,'En común'!$B$6:$B$18,0),MATCH(C100,'En común'!$C$5:$O$5,0))</f>
        <v>0</v>
      </c>
      <c r="G100" s="44" t="s">
        <v>220</v>
      </c>
      <c r="H100" s="44" t="s">
        <v>297</v>
      </c>
      <c r="I100" s="40" t="s">
        <v>240</v>
      </c>
    </row>
    <row r="101" customFormat="false" ht="35.05" hidden="false" customHeight="false" outlineLevel="0" collapsed="false">
      <c r="A101" s="35" t="s">
        <v>54</v>
      </c>
      <c r="B101" s="35" t="s">
        <v>238</v>
      </c>
      <c r="C101" s="35" t="s">
        <v>60</v>
      </c>
      <c r="D101" s="36" t="n">
        <f aca="false">INDEX(Proximidad!$C$6:$O$18,MATCH(A101,Proximidad!$B$6:$B$18,0),MATCH(C101,Proximidad!$C$5:$O$5,0))</f>
        <v>0.307692307692308</v>
      </c>
      <c r="E101" s="37" t="str">
        <f aca="false">IF(D101&gt;=Supuestos!$B$12,"Cercana",IF(D101&gt;=Supuestos!$B$13,"Media","Lejana"))</f>
        <v>Media</v>
      </c>
      <c r="F101" s="38" t="n">
        <f aca="false">INDEX('En común'!$C$6:$O$18,MATCH(A101,'En común'!$B$6:$B$18,0),MATCH(C101,'En común'!$C$5:$O$5,0))</f>
        <v>2</v>
      </c>
      <c r="G101" s="39" t="s">
        <v>72</v>
      </c>
      <c r="H101" s="39" t="s">
        <v>335</v>
      </c>
      <c r="I101" s="35" t="s">
        <v>240</v>
      </c>
    </row>
    <row r="102" customFormat="false" ht="35.05" hidden="false" customHeight="false" outlineLevel="0" collapsed="false">
      <c r="A102" s="40" t="s">
        <v>54</v>
      </c>
      <c r="B102" s="40" t="s">
        <v>241</v>
      </c>
      <c r="C102" s="40" t="s">
        <v>58</v>
      </c>
      <c r="D102" s="41" t="n">
        <f aca="false">INDEX(Proximidad!$C$6:$O$18,MATCH(A102,Proximidad!$B$6:$B$18,0),MATCH(C102,Proximidad!$C$5:$O$5,0))</f>
        <v>0.25</v>
      </c>
      <c r="E102" s="42" t="str">
        <f aca="false">IF(D102&gt;=Supuestos!$B$12,"Cercana",IF(D102&gt;=Supuestos!$B$13,"Media","Lejana"))</f>
        <v>Media</v>
      </c>
      <c r="F102" s="43" t="n">
        <f aca="false">INDEX('En común'!$C$6:$O$18,MATCH(A102,'En común'!$B$6:$B$18,0),MATCH(C102,'En común'!$C$5:$O$5,0))</f>
        <v>3</v>
      </c>
      <c r="G102" s="44" t="s">
        <v>336</v>
      </c>
      <c r="H102" s="44" t="s">
        <v>337</v>
      </c>
      <c r="I102" s="40" t="s">
        <v>250</v>
      </c>
    </row>
    <row r="103" customFormat="false" ht="35.05" hidden="false" customHeight="false" outlineLevel="0" collapsed="false">
      <c r="A103" s="40" t="s">
        <v>54</v>
      </c>
      <c r="B103" s="40" t="s">
        <v>244</v>
      </c>
      <c r="C103" s="40" t="s">
        <v>67</v>
      </c>
      <c r="D103" s="41" t="n">
        <f aca="false">INDEX(Proximidad!$C$6:$O$18,MATCH(A103,Proximidad!$B$6:$B$18,0),MATCH(C103,Proximidad!$C$5:$O$5,0))</f>
        <v>0.230769230769231</v>
      </c>
      <c r="E103" s="42" t="str">
        <f aca="false">IF(D103&gt;=Supuestos!$B$12,"Cercana",IF(D103&gt;=Supuestos!$B$13,"Media","Lejana"))</f>
        <v>Media</v>
      </c>
      <c r="F103" s="43" t="n">
        <f aca="false">INDEX('En común'!$C$6:$O$18,MATCH(A103,'En común'!$B$6:$B$18,0),MATCH(C103,'En común'!$C$5:$O$5,0))</f>
        <v>1</v>
      </c>
      <c r="G103" s="44" t="s">
        <v>206</v>
      </c>
      <c r="H103" s="44" t="s">
        <v>333</v>
      </c>
      <c r="I103" s="40" t="s">
        <v>240</v>
      </c>
    </row>
    <row r="104" customFormat="false" ht="23.85" hidden="false" customHeight="false" outlineLevel="0" collapsed="false">
      <c r="A104" s="40" t="s">
        <v>54</v>
      </c>
      <c r="B104" s="40" t="s">
        <v>247</v>
      </c>
      <c r="C104" s="40" t="s">
        <v>51</v>
      </c>
      <c r="D104" s="41" t="n">
        <f aca="false">INDEX(Proximidad!$C$6:$O$18,MATCH(A104,Proximidad!$B$6:$B$18,0),MATCH(C104,Proximidad!$C$5:$O$5,0))</f>
        <v>0.230769230769231</v>
      </c>
      <c r="E104" s="42" t="str">
        <f aca="false">IF(D104&gt;=Supuestos!$B$12,"Cercana",IF(D104&gt;=Supuestos!$B$13,"Media","Lejana"))</f>
        <v>Media</v>
      </c>
      <c r="F104" s="43" t="n">
        <f aca="false">INDEX('En común'!$C$6:$O$18,MATCH(A104,'En común'!$B$6:$B$18,0),MATCH(C104,'En común'!$C$5:$O$5,0))</f>
        <v>2</v>
      </c>
      <c r="G104" s="44" t="s">
        <v>338</v>
      </c>
      <c r="H104" s="44" t="s">
        <v>339</v>
      </c>
      <c r="I104" s="40" t="s">
        <v>268</v>
      </c>
    </row>
    <row r="105" customFormat="false" ht="35.05" hidden="false" customHeight="false" outlineLevel="0" collapsed="false">
      <c r="A105" s="40" t="s">
        <v>54</v>
      </c>
      <c r="B105" s="40" t="s">
        <v>251</v>
      </c>
      <c r="C105" s="40" t="s">
        <v>64</v>
      </c>
      <c r="D105" s="41" t="n">
        <f aca="false">INDEX(Proximidad!$C$6:$O$18,MATCH(A105,Proximidad!$B$6:$B$18,0),MATCH(C105,Proximidad!$C$5:$O$5,0))</f>
        <v>0.166666666666667</v>
      </c>
      <c r="E105" s="42" t="str">
        <f aca="false">IF(D105&gt;=Supuestos!$B$12,"Cercana",IF(D105&gt;=Supuestos!$B$13,"Media","Lejana"))</f>
        <v>Lejana</v>
      </c>
      <c r="F105" s="43" t="n">
        <f aca="false">INDEX('En común'!$C$6:$O$18,MATCH(A105,'En común'!$B$6:$B$18,0),MATCH(C105,'En común'!$C$5:$O$5,0))</f>
        <v>2</v>
      </c>
      <c r="G105" s="44" t="s">
        <v>305</v>
      </c>
      <c r="H105" s="44" t="s">
        <v>340</v>
      </c>
      <c r="I105" s="40" t="s">
        <v>250</v>
      </c>
    </row>
    <row r="106" customFormat="false" ht="35.05" hidden="false" customHeight="false" outlineLevel="0" collapsed="false">
      <c r="A106" s="40" t="s">
        <v>54</v>
      </c>
      <c r="B106" s="40" t="s">
        <v>253</v>
      </c>
      <c r="C106" s="40" t="s">
        <v>68</v>
      </c>
      <c r="D106" s="41" t="n">
        <f aca="false">INDEX(Proximidad!$C$6:$O$18,MATCH(A106,Proximidad!$B$6:$B$18,0),MATCH(C106,Proximidad!$C$5:$O$5,0))</f>
        <v>0.166666666666667</v>
      </c>
      <c r="E106" s="42" t="str">
        <f aca="false">IF(D106&gt;=Supuestos!$B$12,"Cercana",IF(D106&gt;=Supuestos!$B$13,"Media","Lejana"))</f>
        <v>Lejana</v>
      </c>
      <c r="F106" s="43" t="n">
        <f aca="false">INDEX('En común'!$C$6:$O$18,MATCH(A106,'En común'!$B$6:$B$18,0),MATCH(C106,'En común'!$C$5:$O$5,0))</f>
        <v>2</v>
      </c>
      <c r="G106" s="44" t="s">
        <v>305</v>
      </c>
      <c r="H106" s="44" t="s">
        <v>306</v>
      </c>
      <c r="I106" s="40" t="s">
        <v>250</v>
      </c>
    </row>
    <row r="107" customFormat="false" ht="35.05" hidden="false" customHeight="false" outlineLevel="0" collapsed="false">
      <c r="A107" s="40" t="s">
        <v>54</v>
      </c>
      <c r="B107" s="40" t="s">
        <v>255</v>
      </c>
      <c r="C107" s="40" t="s">
        <v>53</v>
      </c>
      <c r="D107" s="41" t="n">
        <f aca="false">INDEX(Proximidad!$C$6:$O$18,MATCH(A107,Proximidad!$B$6:$B$18,0),MATCH(C107,Proximidad!$C$5:$O$5,0))</f>
        <v>0.153846153846154</v>
      </c>
      <c r="E107" s="42" t="str">
        <f aca="false">IF(D107&gt;=Supuestos!$B$12,"Cercana",IF(D107&gt;=Supuestos!$B$13,"Media","Lejana"))</f>
        <v>Lejana</v>
      </c>
      <c r="F107" s="43" t="n">
        <f aca="false">INDEX('En común'!$C$6:$O$18,MATCH(A107,'En común'!$B$6:$B$18,0),MATCH(C107,'En común'!$C$5:$O$5,0))</f>
        <v>1</v>
      </c>
      <c r="G107" s="44" t="s">
        <v>107</v>
      </c>
      <c r="H107" s="44" t="s">
        <v>341</v>
      </c>
      <c r="I107" s="40" t="s">
        <v>240</v>
      </c>
    </row>
    <row r="108" customFormat="false" ht="35.05" hidden="false" customHeight="false" outlineLevel="0" collapsed="false">
      <c r="A108" s="40" t="s">
        <v>54</v>
      </c>
      <c r="B108" s="40" t="s">
        <v>257</v>
      </c>
      <c r="C108" s="40" t="s">
        <v>52</v>
      </c>
      <c r="D108" s="41" t="n">
        <f aca="false">INDEX(Proximidad!$C$6:$O$18,MATCH(A108,Proximidad!$B$6:$B$18,0),MATCH(C108,Proximidad!$C$5:$O$5,0))</f>
        <v>0.142857142857143</v>
      </c>
      <c r="E108" s="42" t="str">
        <f aca="false">IF(D108&gt;=Supuestos!$B$12,"Cercana",IF(D108&gt;=Supuestos!$B$13,"Media","Lejana"))</f>
        <v>Lejana</v>
      </c>
      <c r="F108" s="43" t="n">
        <f aca="false">INDEX('En común'!$C$6:$O$18,MATCH(A108,'En común'!$B$6:$B$18,0),MATCH(C108,'En común'!$C$5:$O$5,0))</f>
        <v>1</v>
      </c>
      <c r="G108" s="44" t="s">
        <v>107</v>
      </c>
      <c r="H108" s="44" t="s">
        <v>342</v>
      </c>
      <c r="I108" s="40" t="s">
        <v>240</v>
      </c>
    </row>
    <row r="109" customFormat="false" ht="46.25" hidden="false" customHeight="false" outlineLevel="0" collapsed="false">
      <c r="A109" s="40" t="s">
        <v>54</v>
      </c>
      <c r="B109" s="40" t="s">
        <v>259</v>
      </c>
      <c r="C109" s="40" t="s">
        <v>61</v>
      </c>
      <c r="D109" s="41" t="n">
        <f aca="false">INDEX(Proximidad!$C$6:$O$18,MATCH(A109,Proximidad!$B$6:$B$18,0),MATCH(C109,Proximidad!$C$5:$O$5,0))</f>
        <v>0.0909090909090909</v>
      </c>
      <c r="E109" s="42" t="str">
        <f aca="false">IF(D109&gt;=Supuestos!$B$12,"Cercana",IF(D109&gt;=Supuestos!$B$13,"Media","Lejana"))</f>
        <v>Lejana</v>
      </c>
      <c r="F109" s="43" t="n">
        <f aca="false">INDEX('En común'!$C$6:$O$18,MATCH(A109,'En común'!$B$6:$B$18,0),MATCH(C109,'En común'!$C$5:$O$5,0))</f>
        <v>1</v>
      </c>
      <c r="G109" s="44" t="s">
        <v>182</v>
      </c>
      <c r="H109" s="44" t="s">
        <v>343</v>
      </c>
      <c r="I109" s="40" t="s">
        <v>250</v>
      </c>
    </row>
    <row r="110" customFormat="false" ht="46.25" hidden="false" customHeight="false" outlineLevel="0" collapsed="false">
      <c r="A110" s="40" t="s">
        <v>54</v>
      </c>
      <c r="B110" s="40" t="s">
        <v>261</v>
      </c>
      <c r="C110" s="40" t="s">
        <v>63</v>
      </c>
      <c r="D110" s="41" t="n">
        <f aca="false">INDEX(Proximidad!$C$6:$O$18,MATCH(A110,Proximidad!$B$6:$B$18,0),MATCH(C110,Proximidad!$C$5:$O$5,0))</f>
        <v>0.0769230769230769</v>
      </c>
      <c r="E110" s="42" t="str">
        <f aca="false">IF(D110&gt;=Supuestos!$B$12,"Cercana",IF(D110&gt;=Supuestos!$B$13,"Media","Lejana"))</f>
        <v>Lejana</v>
      </c>
      <c r="F110" s="43" t="n">
        <f aca="false">INDEX('En común'!$C$6:$O$18,MATCH(A110,'En común'!$B$6:$B$18,0),MATCH(C110,'En común'!$C$5:$O$5,0))</f>
        <v>1</v>
      </c>
      <c r="G110" s="44" t="s">
        <v>179</v>
      </c>
      <c r="H110" s="44" t="s">
        <v>308</v>
      </c>
      <c r="I110" s="40" t="s">
        <v>250</v>
      </c>
    </row>
    <row r="111" customFormat="false" ht="35.05" hidden="false" customHeight="false" outlineLevel="0" collapsed="false">
      <c r="A111" s="40" t="s">
        <v>54</v>
      </c>
      <c r="B111" s="40" t="s">
        <v>263</v>
      </c>
      <c r="C111" s="40" t="s">
        <v>55</v>
      </c>
      <c r="D111" s="41" t="n">
        <f aca="false">INDEX(Proximidad!$C$6:$O$18,MATCH(A111,Proximidad!$B$6:$B$18,0),MATCH(C111,Proximidad!$C$5:$O$5,0))</f>
        <v>0.0769230769230769</v>
      </c>
      <c r="E111" s="42" t="str">
        <f aca="false">IF(D111&gt;=Supuestos!$B$12,"Cercana",IF(D111&gt;=Supuestos!$B$13,"Media","Lejana"))</f>
        <v>Lejana</v>
      </c>
      <c r="F111" s="43" t="n">
        <f aca="false">INDEX('En común'!$C$6:$O$18,MATCH(A111,'En común'!$B$6:$B$18,0),MATCH(C111,'En común'!$C$5:$O$5,0))</f>
        <v>1</v>
      </c>
      <c r="G111" s="44" t="s">
        <v>182</v>
      </c>
      <c r="H111" s="44" t="s">
        <v>310</v>
      </c>
      <c r="I111" s="40" t="s">
        <v>240</v>
      </c>
    </row>
    <row r="112" customFormat="false" ht="35.05" hidden="false" customHeight="false" outlineLevel="0" collapsed="false">
      <c r="A112" s="40" t="s">
        <v>54</v>
      </c>
      <c r="B112" s="40" t="s">
        <v>265</v>
      </c>
      <c r="C112" s="40" t="s">
        <v>57</v>
      </c>
      <c r="D112" s="41" t="n">
        <f aca="false">INDEX(Proximidad!$C$6:$O$18,MATCH(A112,Proximidad!$B$6:$B$18,0),MATCH(C112,Proximidad!$C$5:$O$5,0))</f>
        <v>0</v>
      </c>
      <c r="E112" s="42" t="str">
        <f aca="false">IF(D112&gt;=Supuestos!$B$12,"Cercana",IF(D112&gt;=Supuestos!$B$13,"Media","Lejana"))</f>
        <v>Lejana</v>
      </c>
      <c r="F112" s="43" t="n">
        <f aca="false">INDEX('En común'!$C$6:$O$18,MATCH(A112,'En común'!$B$6:$B$18,0),MATCH(C112,'En común'!$C$5:$O$5,0))</f>
        <v>0</v>
      </c>
      <c r="G112" s="44" t="s">
        <v>220</v>
      </c>
      <c r="H112" s="44" t="s">
        <v>283</v>
      </c>
      <c r="I112" s="40" t="s">
        <v>240</v>
      </c>
    </row>
    <row r="113" customFormat="false" ht="23.85" hidden="false" customHeight="false" outlineLevel="0" collapsed="false">
      <c r="A113" s="35" t="s">
        <v>61</v>
      </c>
      <c r="B113" s="35" t="s">
        <v>238</v>
      </c>
      <c r="C113" s="35" t="s">
        <v>60</v>
      </c>
      <c r="D113" s="36" t="n">
        <f aca="false">INDEX(Proximidad!$C$6:$O$18,MATCH(A113,Proximidad!$B$6:$B$18,0),MATCH(C113,Proximidad!$C$5:$O$5,0))</f>
        <v>0.307692307692308</v>
      </c>
      <c r="E113" s="37" t="str">
        <f aca="false">IF(D113&gt;=Supuestos!$B$12,"Cercana",IF(D113&gt;=Supuestos!$B$13,"Media","Lejana"))</f>
        <v>Media</v>
      </c>
      <c r="F113" s="38" t="n">
        <f aca="false">INDEX('En común'!$C$6:$O$18,MATCH(A113,'En común'!$B$6:$B$18,0),MATCH(C113,'En común'!$C$5:$O$5,0))</f>
        <v>3</v>
      </c>
      <c r="G113" s="39" t="s">
        <v>73</v>
      </c>
      <c r="H113" s="39" t="s">
        <v>344</v>
      </c>
      <c r="I113" s="35" t="s">
        <v>240</v>
      </c>
    </row>
    <row r="114" customFormat="false" ht="35.05" hidden="false" customHeight="false" outlineLevel="0" collapsed="false">
      <c r="A114" s="40" t="s">
        <v>61</v>
      </c>
      <c r="B114" s="40" t="s">
        <v>241</v>
      </c>
      <c r="C114" s="40" t="s">
        <v>64</v>
      </c>
      <c r="D114" s="41" t="n">
        <f aca="false">INDEX(Proximidad!$C$6:$O$18,MATCH(A114,Proximidad!$B$6:$B$18,0),MATCH(C114,Proximidad!$C$5:$O$5,0))</f>
        <v>0.25</v>
      </c>
      <c r="E114" s="42" t="str">
        <f aca="false">IF(D114&gt;=Supuestos!$B$12,"Cercana",IF(D114&gt;=Supuestos!$B$13,"Media","Lejana"))</f>
        <v>Media</v>
      </c>
      <c r="F114" s="43" t="n">
        <f aca="false">INDEX('En común'!$C$6:$O$18,MATCH(A114,'En común'!$B$6:$B$18,0),MATCH(C114,'En común'!$C$5:$O$5,0))</f>
        <v>2</v>
      </c>
      <c r="G114" s="44" t="s">
        <v>345</v>
      </c>
      <c r="H114" s="44" t="s">
        <v>346</v>
      </c>
      <c r="I114" s="40" t="s">
        <v>250</v>
      </c>
    </row>
    <row r="115" customFormat="false" ht="35.05" hidden="false" customHeight="false" outlineLevel="0" collapsed="false">
      <c r="A115" s="40" t="s">
        <v>61</v>
      </c>
      <c r="B115" s="40" t="s">
        <v>244</v>
      </c>
      <c r="C115" s="40" t="s">
        <v>58</v>
      </c>
      <c r="D115" s="41" t="n">
        <f aca="false">INDEX(Proximidad!$C$6:$O$18,MATCH(A115,Proximidad!$B$6:$B$18,0),MATCH(C115,Proximidad!$C$5:$O$5,0))</f>
        <v>0.25</v>
      </c>
      <c r="E115" s="42" t="str">
        <f aca="false">IF(D115&gt;=Supuestos!$B$12,"Cercana",IF(D115&gt;=Supuestos!$B$13,"Media","Lejana"))</f>
        <v>Media</v>
      </c>
      <c r="F115" s="43" t="n">
        <f aca="false">INDEX('En común'!$C$6:$O$18,MATCH(A115,'En común'!$B$6:$B$18,0),MATCH(C115,'En común'!$C$5:$O$5,0))</f>
        <v>2</v>
      </c>
      <c r="G115" s="44" t="s">
        <v>299</v>
      </c>
      <c r="H115" s="44" t="s">
        <v>331</v>
      </c>
      <c r="I115" s="40" t="s">
        <v>250</v>
      </c>
    </row>
    <row r="116" customFormat="false" ht="35.05" hidden="false" customHeight="false" outlineLevel="0" collapsed="false">
      <c r="A116" s="40" t="s">
        <v>61</v>
      </c>
      <c r="B116" s="40" t="s">
        <v>247</v>
      </c>
      <c r="C116" s="40" t="s">
        <v>55</v>
      </c>
      <c r="D116" s="41" t="n">
        <f aca="false">INDEX(Proximidad!$C$6:$O$18,MATCH(A116,Proximidad!$B$6:$B$18,0),MATCH(C116,Proximidad!$C$5:$O$5,0))</f>
        <v>0.153846153846154</v>
      </c>
      <c r="E116" s="42" t="str">
        <f aca="false">IF(D116&gt;=Supuestos!$B$12,"Cercana",IF(D116&gt;=Supuestos!$B$13,"Media","Lejana"))</f>
        <v>Lejana</v>
      </c>
      <c r="F116" s="43" t="n">
        <f aca="false">INDEX('En común'!$C$6:$O$18,MATCH(A116,'En común'!$B$6:$B$18,0),MATCH(C116,'En común'!$C$5:$O$5,0))</f>
        <v>2</v>
      </c>
      <c r="G116" s="44" t="s">
        <v>347</v>
      </c>
      <c r="H116" s="44" t="s">
        <v>348</v>
      </c>
      <c r="I116" s="40" t="s">
        <v>240</v>
      </c>
    </row>
    <row r="117" customFormat="false" ht="35.05" hidden="false" customHeight="false" outlineLevel="0" collapsed="false">
      <c r="A117" s="40" t="s">
        <v>61</v>
      </c>
      <c r="B117" s="40" t="s">
        <v>251</v>
      </c>
      <c r="C117" s="40" t="s">
        <v>54</v>
      </c>
      <c r="D117" s="41" t="n">
        <f aca="false">INDEX(Proximidad!$C$6:$O$18,MATCH(A117,Proximidad!$B$6:$B$18,0),MATCH(C117,Proximidad!$C$5:$O$5,0))</f>
        <v>0.0833333333333333</v>
      </c>
      <c r="E117" s="42" t="str">
        <f aca="false">IF(D117&gt;=Supuestos!$B$12,"Cercana",IF(D117&gt;=Supuestos!$B$13,"Media","Lejana"))</f>
        <v>Lejana</v>
      </c>
      <c r="F117" s="43" t="n">
        <f aca="false">INDEX('En común'!$C$6:$O$18,MATCH(A117,'En común'!$B$6:$B$18,0),MATCH(C117,'En común'!$C$5:$O$5,0))</f>
        <v>1</v>
      </c>
      <c r="G117" s="44" t="s">
        <v>182</v>
      </c>
      <c r="H117" s="44" t="s">
        <v>281</v>
      </c>
      <c r="I117" s="40" t="s">
        <v>240</v>
      </c>
    </row>
    <row r="118" customFormat="false" ht="35.05" hidden="false" customHeight="false" outlineLevel="0" collapsed="false">
      <c r="A118" s="40" t="s">
        <v>61</v>
      </c>
      <c r="B118" s="40" t="s">
        <v>253</v>
      </c>
      <c r="C118" s="40" t="s">
        <v>63</v>
      </c>
      <c r="D118" s="41" t="n">
        <f aca="false">INDEX(Proximidad!$C$6:$O$18,MATCH(A118,Proximidad!$B$6:$B$18,0),MATCH(C118,Proximidad!$C$5:$O$5,0))</f>
        <v>0.0769230769230769</v>
      </c>
      <c r="E118" s="42" t="str">
        <f aca="false">IF(D118&gt;=Supuestos!$B$12,"Cercana",IF(D118&gt;=Supuestos!$B$13,"Media","Lejana"))</f>
        <v>Lejana</v>
      </c>
      <c r="F118" s="43" t="n">
        <f aca="false">INDEX('En común'!$C$6:$O$18,MATCH(A118,'En común'!$B$6:$B$18,0),MATCH(C118,'En común'!$C$5:$O$5,0))</f>
        <v>1</v>
      </c>
      <c r="G118" s="44" t="s">
        <v>173</v>
      </c>
      <c r="H118" s="44" t="s">
        <v>282</v>
      </c>
      <c r="I118" s="40" t="s">
        <v>250</v>
      </c>
    </row>
    <row r="119" customFormat="false" ht="35.05" hidden="false" customHeight="false" outlineLevel="0" collapsed="false">
      <c r="A119" s="40" t="s">
        <v>61</v>
      </c>
      <c r="B119" s="40" t="s">
        <v>255</v>
      </c>
      <c r="C119" s="40" t="s">
        <v>67</v>
      </c>
      <c r="D119" s="41" t="n">
        <f aca="false">INDEX(Proximidad!$C$6:$O$18,MATCH(A119,Proximidad!$B$6:$B$18,0),MATCH(C119,Proximidad!$C$5:$O$5,0))</f>
        <v>0.0769230769230769</v>
      </c>
      <c r="E119" s="42" t="str">
        <f aca="false">IF(D119&gt;=Supuestos!$B$12,"Cercana",IF(D119&gt;=Supuestos!$B$13,"Media","Lejana"))</f>
        <v>Lejana</v>
      </c>
      <c r="F119" s="43" t="n">
        <f aca="false">INDEX('En común'!$C$6:$O$18,MATCH(A119,'En común'!$B$6:$B$18,0),MATCH(C119,'En común'!$C$5:$O$5,0))</f>
        <v>1</v>
      </c>
      <c r="G119" s="44" t="s">
        <v>188</v>
      </c>
      <c r="H119" s="44" t="s">
        <v>349</v>
      </c>
      <c r="I119" s="40" t="s">
        <v>240</v>
      </c>
    </row>
    <row r="120" customFormat="false" ht="35.05" hidden="false" customHeight="false" outlineLevel="0" collapsed="false">
      <c r="A120" s="40" t="s">
        <v>61</v>
      </c>
      <c r="B120" s="40" t="s">
        <v>257</v>
      </c>
      <c r="C120" s="40" t="s">
        <v>57</v>
      </c>
      <c r="D120" s="41" t="n">
        <f aca="false">INDEX(Proximidad!$C$6:$O$18,MATCH(A120,Proximidad!$B$6:$B$18,0),MATCH(C120,Proximidad!$C$5:$O$5,0))</f>
        <v>0</v>
      </c>
      <c r="E120" s="42" t="str">
        <f aca="false">IF(D120&gt;=Supuestos!$B$12,"Cercana",IF(D120&gt;=Supuestos!$B$13,"Media","Lejana"))</f>
        <v>Lejana</v>
      </c>
      <c r="F120" s="43" t="n">
        <f aca="false">INDEX('En común'!$C$6:$O$18,MATCH(A120,'En común'!$B$6:$B$18,0),MATCH(C120,'En común'!$C$5:$O$5,0))</f>
        <v>0</v>
      </c>
      <c r="G120" s="44" t="s">
        <v>220</v>
      </c>
      <c r="H120" s="44" t="s">
        <v>283</v>
      </c>
      <c r="I120" s="40" t="s">
        <v>240</v>
      </c>
    </row>
    <row r="121" customFormat="false" ht="35.05" hidden="false" customHeight="false" outlineLevel="0" collapsed="false">
      <c r="A121" s="40" t="s">
        <v>61</v>
      </c>
      <c r="B121" s="40" t="s">
        <v>259</v>
      </c>
      <c r="C121" s="40" t="s">
        <v>51</v>
      </c>
      <c r="D121" s="41" t="n">
        <f aca="false">INDEX(Proximidad!$C$6:$O$18,MATCH(A121,Proximidad!$B$6:$B$18,0),MATCH(C121,Proximidad!$C$5:$O$5,0))</f>
        <v>0</v>
      </c>
      <c r="E121" s="42" t="str">
        <f aca="false">IF(D121&gt;=Supuestos!$B$12,"Cercana",IF(D121&gt;=Supuestos!$B$13,"Media","Lejana"))</f>
        <v>Lejana</v>
      </c>
      <c r="F121" s="43" t="n">
        <f aca="false">INDEX('En común'!$C$6:$O$18,MATCH(A121,'En común'!$B$6:$B$18,0),MATCH(C121,'En común'!$C$5:$O$5,0))</f>
        <v>0</v>
      </c>
      <c r="G121" s="44" t="s">
        <v>220</v>
      </c>
      <c r="H121" s="44" t="s">
        <v>284</v>
      </c>
      <c r="I121" s="40" t="s">
        <v>268</v>
      </c>
    </row>
    <row r="122" customFormat="false" ht="35.05" hidden="false" customHeight="false" outlineLevel="0" collapsed="false">
      <c r="A122" s="40" t="s">
        <v>61</v>
      </c>
      <c r="B122" s="40" t="s">
        <v>261</v>
      </c>
      <c r="C122" s="40" t="s">
        <v>68</v>
      </c>
      <c r="D122" s="41" t="n">
        <f aca="false">INDEX(Proximidad!$C$6:$O$18,MATCH(A122,Proximidad!$B$6:$B$18,0),MATCH(C122,Proximidad!$C$5:$O$5,0))</f>
        <v>0</v>
      </c>
      <c r="E122" s="42" t="str">
        <f aca="false">IF(D122&gt;=Supuestos!$B$12,"Cercana",IF(D122&gt;=Supuestos!$B$13,"Media","Lejana"))</f>
        <v>Lejana</v>
      </c>
      <c r="F122" s="43" t="n">
        <f aca="false">INDEX('En común'!$C$6:$O$18,MATCH(A122,'En común'!$B$6:$B$18,0),MATCH(C122,'En común'!$C$5:$O$5,0))</f>
        <v>0</v>
      </c>
      <c r="G122" s="44" t="s">
        <v>220</v>
      </c>
      <c r="H122" s="44" t="s">
        <v>285</v>
      </c>
      <c r="I122" s="40" t="s">
        <v>250</v>
      </c>
    </row>
    <row r="123" customFormat="false" ht="35.05" hidden="false" customHeight="false" outlineLevel="0" collapsed="false">
      <c r="A123" s="40" t="s">
        <v>61</v>
      </c>
      <c r="B123" s="40" t="s">
        <v>263</v>
      </c>
      <c r="C123" s="40" t="s">
        <v>53</v>
      </c>
      <c r="D123" s="41" t="n">
        <f aca="false">INDEX(Proximidad!$C$6:$O$18,MATCH(A123,Proximidad!$B$6:$B$18,0),MATCH(C123,Proximidad!$C$5:$O$5,0))</f>
        <v>0</v>
      </c>
      <c r="E123" s="42" t="str">
        <f aca="false">IF(D123&gt;=Supuestos!$B$12,"Cercana",IF(D123&gt;=Supuestos!$B$13,"Media","Lejana"))</f>
        <v>Lejana</v>
      </c>
      <c r="F123" s="43" t="n">
        <f aca="false">INDEX('En común'!$C$6:$O$18,MATCH(A123,'En común'!$B$6:$B$18,0),MATCH(C123,'En común'!$C$5:$O$5,0))</f>
        <v>0</v>
      </c>
      <c r="G123" s="44" t="s">
        <v>220</v>
      </c>
      <c r="H123" s="44" t="s">
        <v>286</v>
      </c>
      <c r="I123" s="40" t="s">
        <v>240</v>
      </c>
    </row>
    <row r="124" customFormat="false" ht="35.05" hidden="false" customHeight="false" outlineLevel="0" collapsed="false">
      <c r="A124" s="40" t="s">
        <v>61</v>
      </c>
      <c r="B124" s="40" t="s">
        <v>265</v>
      </c>
      <c r="C124" s="40" t="s">
        <v>52</v>
      </c>
      <c r="D124" s="41" t="n">
        <f aca="false">INDEX(Proximidad!$C$6:$O$18,MATCH(A124,Proximidad!$B$6:$B$18,0),MATCH(C124,Proximidad!$C$5:$O$5,0))</f>
        <v>0</v>
      </c>
      <c r="E124" s="42" t="str">
        <f aca="false">IF(D124&gt;=Supuestos!$B$12,"Cercana",IF(D124&gt;=Supuestos!$B$13,"Media","Lejana"))</f>
        <v>Lejana</v>
      </c>
      <c r="F124" s="43" t="n">
        <f aca="false">INDEX('En común'!$C$6:$O$18,MATCH(A124,'En común'!$B$6:$B$18,0),MATCH(C124,'En común'!$C$5:$O$5,0))</f>
        <v>0</v>
      </c>
      <c r="G124" s="44" t="s">
        <v>220</v>
      </c>
      <c r="H124" s="44" t="s">
        <v>297</v>
      </c>
      <c r="I124" s="40" t="s">
        <v>240</v>
      </c>
    </row>
    <row r="125" customFormat="false" ht="35.05" hidden="false" customHeight="false" outlineLevel="0" collapsed="false">
      <c r="A125" s="35" t="s">
        <v>57</v>
      </c>
      <c r="B125" s="35" t="s">
        <v>238</v>
      </c>
      <c r="C125" s="35" t="s">
        <v>63</v>
      </c>
      <c r="D125" s="36" t="n">
        <f aca="false">INDEX(Proximidad!$C$6:$O$18,MATCH(A125,Proximidad!$B$6:$B$18,0),MATCH(C125,Proximidad!$C$5:$O$5,0))</f>
        <v>0.307692307692308</v>
      </c>
      <c r="E125" s="37" t="str">
        <f aca="false">IF(D125&gt;=Supuestos!$B$12,"Cercana",IF(D125&gt;=Supuestos!$B$13,"Media","Lejana"))</f>
        <v>Media</v>
      </c>
      <c r="F125" s="38" t="n">
        <f aca="false">INDEX('En común'!$C$6:$O$18,MATCH(A125,'En común'!$B$6:$B$18,0),MATCH(C125,'En común'!$C$5:$O$5,0))</f>
        <v>2</v>
      </c>
      <c r="G125" s="39" t="s">
        <v>65</v>
      </c>
      <c r="H125" s="39" t="s">
        <v>350</v>
      </c>
      <c r="I125" s="35" t="s">
        <v>250</v>
      </c>
    </row>
    <row r="126" customFormat="false" ht="35.05" hidden="false" customHeight="false" outlineLevel="0" collapsed="false">
      <c r="A126" s="40" t="s">
        <v>57</v>
      </c>
      <c r="B126" s="40" t="s">
        <v>241</v>
      </c>
      <c r="C126" s="40" t="s">
        <v>52</v>
      </c>
      <c r="D126" s="41" t="n">
        <f aca="false">INDEX(Proximidad!$C$6:$O$18,MATCH(A126,Proximidad!$B$6:$B$18,0),MATCH(C126,Proximidad!$C$5:$O$5,0))</f>
        <v>0.285714285714286</v>
      </c>
      <c r="E126" s="42" t="str">
        <f aca="false">IF(D126&gt;=Supuestos!$B$12,"Cercana",IF(D126&gt;=Supuestos!$B$13,"Media","Lejana"))</f>
        <v>Media</v>
      </c>
      <c r="F126" s="43" t="n">
        <f aca="false">INDEX('En común'!$C$6:$O$18,MATCH(A126,'En común'!$B$6:$B$18,0),MATCH(C126,'En común'!$C$5:$O$5,0))</f>
        <v>2</v>
      </c>
      <c r="G126" s="44" t="s">
        <v>351</v>
      </c>
      <c r="H126" s="44" t="s">
        <v>352</v>
      </c>
      <c r="I126" s="40" t="s">
        <v>240</v>
      </c>
    </row>
    <row r="127" customFormat="false" ht="35.05" hidden="false" customHeight="false" outlineLevel="0" collapsed="false">
      <c r="A127" s="40" t="s">
        <v>57</v>
      </c>
      <c r="B127" s="40" t="s">
        <v>244</v>
      </c>
      <c r="C127" s="40" t="s">
        <v>53</v>
      </c>
      <c r="D127" s="41" t="n">
        <f aca="false">INDEX(Proximidad!$C$6:$O$18,MATCH(A127,Proximidad!$B$6:$B$18,0),MATCH(C127,Proximidad!$C$5:$O$5,0))</f>
        <v>0.230769230769231</v>
      </c>
      <c r="E127" s="42" t="str">
        <f aca="false">IF(D127&gt;=Supuestos!$B$12,"Cercana",IF(D127&gt;=Supuestos!$B$13,"Media","Lejana"))</f>
        <v>Media</v>
      </c>
      <c r="F127" s="43" t="n">
        <f aca="false">INDEX('En común'!$C$6:$O$18,MATCH(A127,'En común'!$B$6:$B$18,0),MATCH(C127,'En común'!$C$5:$O$5,0))</f>
        <v>2</v>
      </c>
      <c r="G127" s="44" t="s">
        <v>322</v>
      </c>
      <c r="H127" s="44" t="s">
        <v>353</v>
      </c>
      <c r="I127" s="40" t="s">
        <v>240</v>
      </c>
    </row>
    <row r="128" customFormat="false" ht="35.05" hidden="false" customHeight="false" outlineLevel="0" collapsed="false">
      <c r="A128" s="40" t="s">
        <v>57</v>
      </c>
      <c r="B128" s="40" t="s">
        <v>247</v>
      </c>
      <c r="C128" s="40" t="s">
        <v>64</v>
      </c>
      <c r="D128" s="41" t="n">
        <f aca="false">INDEX(Proximidad!$C$6:$O$18,MATCH(A128,Proximidad!$B$6:$B$18,0),MATCH(C128,Proximidad!$C$5:$O$5,0))</f>
        <v>0.166666666666667</v>
      </c>
      <c r="E128" s="42" t="str">
        <f aca="false">IF(D128&gt;=Supuestos!$B$12,"Cercana",IF(D128&gt;=Supuestos!$B$13,"Media","Lejana"))</f>
        <v>Lejana</v>
      </c>
      <c r="F128" s="43" t="n">
        <f aca="false">INDEX('En común'!$C$6:$O$18,MATCH(A128,'En común'!$B$6:$B$18,0),MATCH(C128,'En común'!$C$5:$O$5,0))</f>
        <v>1</v>
      </c>
      <c r="G128" s="44" t="s">
        <v>152</v>
      </c>
      <c r="H128" s="44" t="s">
        <v>354</v>
      </c>
      <c r="I128" s="40" t="s">
        <v>250</v>
      </c>
    </row>
    <row r="129" customFormat="false" ht="46.25" hidden="false" customHeight="false" outlineLevel="0" collapsed="false">
      <c r="A129" s="40" t="s">
        <v>57</v>
      </c>
      <c r="B129" s="40" t="s">
        <v>251</v>
      </c>
      <c r="C129" s="40" t="s">
        <v>60</v>
      </c>
      <c r="D129" s="41" t="n">
        <f aca="false">INDEX(Proximidad!$C$6:$O$18,MATCH(A129,Proximidad!$B$6:$B$18,0),MATCH(C129,Proximidad!$C$5:$O$5,0))</f>
        <v>0.153846153846154</v>
      </c>
      <c r="E129" s="42" t="str">
        <f aca="false">IF(D129&gt;=Supuestos!$B$12,"Cercana",IF(D129&gt;=Supuestos!$B$13,"Media","Lejana"))</f>
        <v>Lejana</v>
      </c>
      <c r="F129" s="43" t="n">
        <f aca="false">INDEX('En común'!$C$6:$O$18,MATCH(A129,'En común'!$B$6:$B$18,0),MATCH(C129,'En común'!$C$5:$O$5,0))</f>
        <v>1</v>
      </c>
      <c r="G129" s="44" t="s">
        <v>152</v>
      </c>
      <c r="H129" s="44" t="s">
        <v>355</v>
      </c>
      <c r="I129" s="40" t="s">
        <v>240</v>
      </c>
    </row>
    <row r="130" customFormat="false" ht="35.05" hidden="false" customHeight="false" outlineLevel="0" collapsed="false">
      <c r="A130" s="40" t="s">
        <v>57</v>
      </c>
      <c r="B130" s="40" t="s">
        <v>253</v>
      </c>
      <c r="C130" s="40" t="s">
        <v>68</v>
      </c>
      <c r="D130" s="41" t="n">
        <f aca="false">INDEX(Proximidad!$C$6:$O$18,MATCH(A130,Proximidad!$B$6:$B$18,0),MATCH(C130,Proximidad!$C$5:$O$5,0))</f>
        <v>0.0833333333333333</v>
      </c>
      <c r="E130" s="42" t="str">
        <f aca="false">IF(D130&gt;=Supuestos!$B$12,"Cercana",IF(D130&gt;=Supuestos!$B$13,"Media","Lejana"))</f>
        <v>Lejana</v>
      </c>
      <c r="F130" s="43" t="n">
        <f aca="false">INDEX('En común'!$C$6:$O$18,MATCH(A130,'En común'!$B$6:$B$18,0),MATCH(C130,'En común'!$C$5:$O$5,0))</f>
        <v>1</v>
      </c>
      <c r="G130" s="44" t="s">
        <v>176</v>
      </c>
      <c r="H130" s="44" t="s">
        <v>273</v>
      </c>
      <c r="I130" s="40" t="s">
        <v>250</v>
      </c>
    </row>
    <row r="131" customFormat="false" ht="35.05" hidden="false" customHeight="false" outlineLevel="0" collapsed="false">
      <c r="A131" s="40" t="s">
        <v>57</v>
      </c>
      <c r="B131" s="40" t="s">
        <v>255</v>
      </c>
      <c r="C131" s="40" t="s">
        <v>51</v>
      </c>
      <c r="D131" s="41" t="n">
        <f aca="false">INDEX(Proximidad!$C$6:$O$18,MATCH(A131,Proximidad!$B$6:$B$18,0),MATCH(C131,Proximidad!$C$5:$O$5,0))</f>
        <v>0.0769230769230769</v>
      </c>
      <c r="E131" s="42" t="str">
        <f aca="false">IF(D131&gt;=Supuestos!$B$12,"Cercana",IF(D131&gt;=Supuestos!$B$13,"Media","Lejana"))</f>
        <v>Lejana</v>
      </c>
      <c r="F131" s="43" t="n">
        <f aca="false">INDEX('En común'!$C$6:$O$18,MATCH(A131,'En común'!$B$6:$B$18,0),MATCH(C131,'En común'!$C$5:$O$5,0))</f>
        <v>1</v>
      </c>
      <c r="G131" s="44" t="s">
        <v>176</v>
      </c>
      <c r="H131" s="44" t="s">
        <v>356</v>
      </c>
      <c r="I131" s="40" t="s">
        <v>268</v>
      </c>
    </row>
    <row r="132" customFormat="false" ht="46.25" hidden="false" customHeight="false" outlineLevel="0" collapsed="false">
      <c r="A132" s="40" t="s">
        <v>57</v>
      </c>
      <c r="B132" s="40" t="s">
        <v>257</v>
      </c>
      <c r="C132" s="40" t="s">
        <v>67</v>
      </c>
      <c r="D132" s="41" t="n">
        <f aca="false">INDEX(Proximidad!$C$6:$O$18,MATCH(A132,Proximidad!$B$6:$B$18,0),MATCH(C132,Proximidad!$C$5:$O$5,0))</f>
        <v>0</v>
      </c>
      <c r="E132" s="42" t="str">
        <f aca="false">IF(D132&gt;=Supuestos!$B$12,"Cercana",IF(D132&gt;=Supuestos!$B$13,"Media","Lejana"))</f>
        <v>Lejana</v>
      </c>
      <c r="F132" s="43" t="n">
        <f aca="false">INDEX('En común'!$C$6:$O$18,MATCH(A132,'En común'!$B$6:$B$18,0),MATCH(C132,'En común'!$C$5:$O$5,0))</f>
        <v>0</v>
      </c>
      <c r="G132" s="44" t="s">
        <v>220</v>
      </c>
      <c r="H132" s="44" t="s">
        <v>262</v>
      </c>
      <c r="I132" s="40" t="s">
        <v>240</v>
      </c>
    </row>
    <row r="133" customFormat="false" ht="46.25" hidden="false" customHeight="false" outlineLevel="0" collapsed="false">
      <c r="A133" s="40" t="s">
        <v>57</v>
      </c>
      <c r="B133" s="40" t="s">
        <v>259</v>
      </c>
      <c r="C133" s="40" t="s">
        <v>61</v>
      </c>
      <c r="D133" s="41" t="n">
        <f aca="false">INDEX(Proximidad!$C$6:$O$18,MATCH(A133,Proximidad!$B$6:$B$18,0),MATCH(C133,Proximidad!$C$5:$O$5,0))</f>
        <v>0</v>
      </c>
      <c r="E133" s="42" t="str">
        <f aca="false">IF(D133&gt;=Supuestos!$B$12,"Cercana",IF(D133&gt;=Supuestos!$B$13,"Media","Lejana"))</f>
        <v>Lejana</v>
      </c>
      <c r="F133" s="43" t="n">
        <f aca="false">INDEX('En común'!$C$6:$O$18,MATCH(A133,'En común'!$B$6:$B$18,0),MATCH(C133,'En común'!$C$5:$O$5,0))</f>
        <v>0</v>
      </c>
      <c r="G133" s="44" t="s">
        <v>220</v>
      </c>
      <c r="H133" s="44" t="s">
        <v>264</v>
      </c>
      <c r="I133" s="40" t="s">
        <v>250</v>
      </c>
    </row>
    <row r="134" customFormat="false" ht="46.25" hidden="false" customHeight="false" outlineLevel="0" collapsed="false">
      <c r="A134" s="40" t="s">
        <v>57</v>
      </c>
      <c r="B134" s="40" t="s">
        <v>261</v>
      </c>
      <c r="C134" s="40" t="s">
        <v>58</v>
      </c>
      <c r="D134" s="41" t="n">
        <f aca="false">INDEX(Proximidad!$C$6:$O$18,MATCH(A134,Proximidad!$B$6:$B$18,0),MATCH(C134,Proximidad!$C$5:$O$5,0))</f>
        <v>0</v>
      </c>
      <c r="E134" s="42" t="str">
        <f aca="false">IF(D134&gt;=Supuestos!$B$12,"Cercana",IF(D134&gt;=Supuestos!$B$13,"Media","Lejana"))</f>
        <v>Lejana</v>
      </c>
      <c r="F134" s="43" t="n">
        <f aca="false">INDEX('En común'!$C$6:$O$18,MATCH(A134,'En común'!$B$6:$B$18,0),MATCH(C134,'En común'!$C$5:$O$5,0))</f>
        <v>0</v>
      </c>
      <c r="G134" s="44" t="s">
        <v>220</v>
      </c>
      <c r="H134" s="44" t="s">
        <v>275</v>
      </c>
      <c r="I134" s="40" t="s">
        <v>250</v>
      </c>
    </row>
    <row r="135" customFormat="false" ht="35.05" hidden="false" customHeight="false" outlineLevel="0" collapsed="false">
      <c r="A135" s="40" t="s">
        <v>57</v>
      </c>
      <c r="B135" s="40" t="s">
        <v>263</v>
      </c>
      <c r="C135" s="40" t="s">
        <v>54</v>
      </c>
      <c r="D135" s="41" t="n">
        <f aca="false">INDEX(Proximidad!$C$6:$O$18,MATCH(A135,Proximidad!$B$6:$B$18,0),MATCH(C135,Proximidad!$C$5:$O$5,0))</f>
        <v>0</v>
      </c>
      <c r="E135" s="42" t="str">
        <f aca="false">IF(D135&gt;=Supuestos!$B$12,"Cercana",IF(D135&gt;=Supuestos!$B$13,"Media","Lejana"))</f>
        <v>Lejana</v>
      </c>
      <c r="F135" s="43" t="n">
        <f aca="false">INDEX('En común'!$C$6:$O$18,MATCH(A135,'En común'!$B$6:$B$18,0),MATCH(C135,'En común'!$C$5:$O$5,0))</f>
        <v>0</v>
      </c>
      <c r="G135" s="44" t="s">
        <v>220</v>
      </c>
      <c r="H135" s="44" t="s">
        <v>357</v>
      </c>
      <c r="I135" s="40" t="s">
        <v>240</v>
      </c>
    </row>
    <row r="136" customFormat="false" ht="46.25" hidden="false" customHeight="false" outlineLevel="0" collapsed="false">
      <c r="A136" s="40" t="s">
        <v>57</v>
      </c>
      <c r="B136" s="40" t="s">
        <v>265</v>
      </c>
      <c r="C136" s="40" t="s">
        <v>55</v>
      </c>
      <c r="D136" s="41" t="n">
        <f aca="false">INDEX(Proximidad!$C$6:$O$18,MATCH(A136,Proximidad!$B$6:$B$18,0),MATCH(C136,Proximidad!$C$5:$O$5,0))</f>
        <v>0</v>
      </c>
      <c r="E136" s="42" t="str">
        <f aca="false">IF(D136&gt;=Supuestos!$B$12,"Cercana",IF(D136&gt;=Supuestos!$B$13,"Media","Lejana"))</f>
        <v>Lejana</v>
      </c>
      <c r="F136" s="43" t="n">
        <f aca="false">INDEX('En común'!$C$6:$O$18,MATCH(A136,'En común'!$B$6:$B$18,0),MATCH(C136,'En común'!$C$5:$O$5,0))</f>
        <v>0</v>
      </c>
      <c r="G136" s="44" t="s">
        <v>220</v>
      </c>
      <c r="H136" s="44" t="s">
        <v>266</v>
      </c>
      <c r="I136" s="40" t="s">
        <v>240</v>
      </c>
    </row>
    <row r="137" customFormat="false" ht="35.05" hidden="false" customHeight="false" outlineLevel="0" collapsed="false">
      <c r="A137" s="35" t="s">
        <v>68</v>
      </c>
      <c r="B137" s="35" t="s">
        <v>238</v>
      </c>
      <c r="C137" s="35" t="s">
        <v>67</v>
      </c>
      <c r="D137" s="36" t="n">
        <f aca="false">INDEX(Proximidad!$C$6:$O$18,MATCH(A137,Proximidad!$B$6:$B$18,0),MATCH(C137,Proximidad!$C$5:$O$5,0))</f>
        <v>0.307692307692308</v>
      </c>
      <c r="E137" s="37" t="str">
        <f aca="false">IF(D137&gt;=Supuestos!$B$12,"Cercana",IF(D137&gt;=Supuestos!$B$13,"Media","Lejana"))</f>
        <v>Media</v>
      </c>
      <c r="F137" s="38" t="n">
        <f aca="false">INDEX('En común'!$C$6:$O$18,MATCH(A137,'En común'!$B$6:$B$18,0),MATCH(C137,'En común'!$C$5:$O$5,0))</f>
        <v>2</v>
      </c>
      <c r="G137" s="39" t="s">
        <v>74</v>
      </c>
      <c r="H137" s="39" t="s">
        <v>358</v>
      </c>
      <c r="I137" s="35" t="s">
        <v>240</v>
      </c>
    </row>
    <row r="138" customFormat="false" ht="35.05" hidden="false" customHeight="false" outlineLevel="0" collapsed="false">
      <c r="A138" s="40" t="s">
        <v>68</v>
      </c>
      <c r="B138" s="40" t="s">
        <v>241</v>
      </c>
      <c r="C138" s="40" t="s">
        <v>53</v>
      </c>
      <c r="D138" s="41" t="n">
        <f aca="false">INDEX(Proximidad!$C$6:$O$18,MATCH(A138,Proximidad!$B$6:$B$18,0),MATCH(C138,Proximidad!$C$5:$O$5,0))</f>
        <v>0.307692307692308</v>
      </c>
      <c r="E138" s="42" t="str">
        <f aca="false">IF(D138&gt;=Supuestos!$B$12,"Cercana",IF(D138&gt;=Supuestos!$B$13,"Media","Lejana"))</f>
        <v>Media</v>
      </c>
      <c r="F138" s="43" t="n">
        <f aca="false">INDEX('En común'!$C$6:$O$18,MATCH(A138,'En común'!$B$6:$B$18,0),MATCH(C138,'En común'!$C$5:$O$5,0))</f>
        <v>2</v>
      </c>
      <c r="G138" s="44" t="s">
        <v>320</v>
      </c>
      <c r="H138" s="44" t="s">
        <v>359</v>
      </c>
      <c r="I138" s="40" t="s">
        <v>240</v>
      </c>
    </row>
    <row r="139" customFormat="false" ht="35.05" hidden="false" customHeight="false" outlineLevel="0" collapsed="false">
      <c r="A139" s="40" t="s">
        <v>68</v>
      </c>
      <c r="B139" s="40" t="s">
        <v>244</v>
      </c>
      <c r="C139" s="40" t="s">
        <v>64</v>
      </c>
      <c r="D139" s="41" t="n">
        <f aca="false">INDEX(Proximidad!$C$6:$O$18,MATCH(A139,Proximidad!$B$6:$B$18,0),MATCH(C139,Proximidad!$C$5:$O$5,0))</f>
        <v>0.166666666666667</v>
      </c>
      <c r="E139" s="42" t="str">
        <f aca="false">IF(D139&gt;=Supuestos!$B$12,"Cercana",IF(D139&gt;=Supuestos!$B$13,"Media","Lejana"))</f>
        <v>Lejana</v>
      </c>
      <c r="F139" s="43" t="n">
        <f aca="false">INDEX('En común'!$C$6:$O$18,MATCH(A139,'En común'!$B$6:$B$18,0),MATCH(C139,'En común'!$C$5:$O$5,0))</f>
        <v>2</v>
      </c>
      <c r="G139" s="44" t="s">
        <v>305</v>
      </c>
      <c r="H139" s="44" t="s">
        <v>340</v>
      </c>
      <c r="I139" s="40" t="s">
        <v>250</v>
      </c>
    </row>
    <row r="140" customFormat="false" ht="35.05" hidden="false" customHeight="false" outlineLevel="0" collapsed="false">
      <c r="A140" s="40" t="s">
        <v>68</v>
      </c>
      <c r="B140" s="40" t="s">
        <v>247</v>
      </c>
      <c r="C140" s="40" t="s">
        <v>58</v>
      </c>
      <c r="D140" s="41" t="n">
        <f aca="false">INDEX(Proximidad!$C$6:$O$18,MATCH(A140,Proximidad!$B$6:$B$18,0),MATCH(C140,Proximidad!$C$5:$O$5,0))</f>
        <v>0.166666666666667</v>
      </c>
      <c r="E140" s="42" t="str">
        <f aca="false">IF(D140&gt;=Supuestos!$B$12,"Cercana",IF(D140&gt;=Supuestos!$B$13,"Media","Lejana"))</f>
        <v>Lejana</v>
      </c>
      <c r="F140" s="43" t="n">
        <f aca="false">INDEX('En común'!$C$6:$O$18,MATCH(A140,'En común'!$B$6:$B$18,0),MATCH(C140,'En común'!$C$5:$O$5,0))</f>
        <v>2</v>
      </c>
      <c r="G140" s="44" t="s">
        <v>305</v>
      </c>
      <c r="H140" s="44" t="s">
        <v>360</v>
      </c>
      <c r="I140" s="40" t="s">
        <v>250</v>
      </c>
    </row>
    <row r="141" customFormat="false" ht="35.05" hidden="false" customHeight="false" outlineLevel="0" collapsed="false">
      <c r="A141" s="40" t="s">
        <v>68</v>
      </c>
      <c r="B141" s="40" t="s">
        <v>251</v>
      </c>
      <c r="C141" s="40" t="s">
        <v>54</v>
      </c>
      <c r="D141" s="41" t="n">
        <f aca="false">INDEX(Proximidad!$C$6:$O$18,MATCH(A141,Proximidad!$B$6:$B$18,0),MATCH(C141,Proximidad!$C$5:$O$5,0))</f>
        <v>0.166666666666667</v>
      </c>
      <c r="E141" s="42" t="str">
        <f aca="false">IF(D141&gt;=Supuestos!$B$12,"Cercana",IF(D141&gt;=Supuestos!$B$13,"Media","Lejana"))</f>
        <v>Lejana</v>
      </c>
      <c r="F141" s="43" t="n">
        <f aca="false">INDEX('En común'!$C$6:$O$18,MATCH(A141,'En común'!$B$6:$B$18,0),MATCH(C141,'En común'!$C$5:$O$5,0))</f>
        <v>2</v>
      </c>
      <c r="G141" s="44" t="s">
        <v>361</v>
      </c>
      <c r="H141" s="44" t="s">
        <v>362</v>
      </c>
      <c r="I141" s="40" t="s">
        <v>240</v>
      </c>
    </row>
    <row r="142" customFormat="false" ht="35.05" hidden="false" customHeight="false" outlineLevel="0" collapsed="false">
      <c r="A142" s="40" t="s">
        <v>68</v>
      </c>
      <c r="B142" s="40" t="s">
        <v>253</v>
      </c>
      <c r="C142" s="40" t="s">
        <v>51</v>
      </c>
      <c r="D142" s="41" t="n">
        <f aca="false">INDEX(Proximidad!$C$6:$O$18,MATCH(A142,Proximidad!$B$6:$B$18,0),MATCH(C142,Proximidad!$C$5:$O$5,0))</f>
        <v>0.153846153846154</v>
      </c>
      <c r="E142" s="42" t="str">
        <f aca="false">IF(D142&gt;=Supuestos!$B$12,"Cercana",IF(D142&gt;=Supuestos!$B$13,"Media","Lejana"))</f>
        <v>Lejana</v>
      </c>
      <c r="F142" s="43" t="n">
        <f aca="false">INDEX('En común'!$C$6:$O$18,MATCH(A142,'En común'!$B$6:$B$18,0),MATCH(C142,'En común'!$C$5:$O$5,0))</f>
        <v>2</v>
      </c>
      <c r="G142" s="44" t="s">
        <v>363</v>
      </c>
      <c r="H142" s="44" t="s">
        <v>364</v>
      </c>
      <c r="I142" s="40" t="s">
        <v>268</v>
      </c>
    </row>
    <row r="143" customFormat="false" ht="46.25" hidden="false" customHeight="false" outlineLevel="0" collapsed="false">
      <c r="A143" s="40" t="s">
        <v>68</v>
      </c>
      <c r="B143" s="40" t="s">
        <v>255</v>
      </c>
      <c r="C143" s="40" t="s">
        <v>63</v>
      </c>
      <c r="D143" s="41" t="n">
        <f aca="false">INDEX(Proximidad!$C$6:$O$18,MATCH(A143,Proximidad!$B$6:$B$18,0),MATCH(C143,Proximidad!$C$5:$O$5,0))</f>
        <v>0.0769230769230769</v>
      </c>
      <c r="E143" s="42" t="str">
        <f aca="false">IF(D143&gt;=Supuestos!$B$12,"Cercana",IF(D143&gt;=Supuestos!$B$13,"Media","Lejana"))</f>
        <v>Lejana</v>
      </c>
      <c r="F143" s="43" t="n">
        <f aca="false">INDEX('En común'!$C$6:$O$18,MATCH(A143,'En común'!$B$6:$B$18,0),MATCH(C143,'En común'!$C$5:$O$5,0))</f>
        <v>1</v>
      </c>
      <c r="G143" s="44" t="s">
        <v>179</v>
      </c>
      <c r="H143" s="44" t="s">
        <v>308</v>
      </c>
      <c r="I143" s="40" t="s">
        <v>250</v>
      </c>
    </row>
    <row r="144" customFormat="false" ht="35.05" hidden="false" customHeight="false" outlineLevel="0" collapsed="false">
      <c r="A144" s="40" t="s">
        <v>68</v>
      </c>
      <c r="B144" s="40" t="s">
        <v>257</v>
      </c>
      <c r="C144" s="40" t="s">
        <v>57</v>
      </c>
      <c r="D144" s="41" t="n">
        <f aca="false">INDEX(Proximidad!$C$6:$O$18,MATCH(A144,Proximidad!$B$6:$B$18,0),MATCH(C144,Proximidad!$C$5:$O$5,0))</f>
        <v>0.0714285714285714</v>
      </c>
      <c r="E144" s="42" t="str">
        <f aca="false">IF(D144&gt;=Supuestos!$B$12,"Cercana",IF(D144&gt;=Supuestos!$B$13,"Media","Lejana"))</f>
        <v>Lejana</v>
      </c>
      <c r="F144" s="43" t="n">
        <f aca="false">INDEX('En común'!$C$6:$O$18,MATCH(A144,'En común'!$B$6:$B$18,0),MATCH(C144,'En común'!$C$5:$O$5,0))</f>
        <v>1</v>
      </c>
      <c r="G144" s="44" t="s">
        <v>176</v>
      </c>
      <c r="H144" s="44" t="s">
        <v>256</v>
      </c>
      <c r="I144" s="40" t="s">
        <v>240</v>
      </c>
    </row>
    <row r="145" customFormat="false" ht="35.05" hidden="false" customHeight="false" outlineLevel="0" collapsed="false">
      <c r="A145" s="40" t="s">
        <v>68</v>
      </c>
      <c r="B145" s="40" t="s">
        <v>259</v>
      </c>
      <c r="C145" s="40" t="s">
        <v>52</v>
      </c>
      <c r="D145" s="41" t="n">
        <f aca="false">INDEX(Proximidad!$C$6:$O$18,MATCH(A145,Proximidad!$B$6:$B$18,0),MATCH(C145,Proximidad!$C$5:$O$5,0))</f>
        <v>0.0714285714285714</v>
      </c>
      <c r="E145" s="42" t="str">
        <f aca="false">IF(D145&gt;=Supuestos!$B$12,"Cercana",IF(D145&gt;=Supuestos!$B$13,"Media","Lejana"))</f>
        <v>Lejana</v>
      </c>
      <c r="F145" s="43" t="n">
        <f aca="false">INDEX('En común'!$C$6:$O$18,MATCH(A145,'En común'!$B$6:$B$18,0),MATCH(C145,'En común'!$C$5:$O$5,0))</f>
        <v>1</v>
      </c>
      <c r="G145" s="44" t="s">
        <v>176</v>
      </c>
      <c r="H145" s="44" t="s">
        <v>365</v>
      </c>
      <c r="I145" s="40" t="s">
        <v>240</v>
      </c>
    </row>
    <row r="146" customFormat="false" ht="46.25" hidden="false" customHeight="false" outlineLevel="0" collapsed="false">
      <c r="A146" s="40" t="s">
        <v>68</v>
      </c>
      <c r="B146" s="40" t="s">
        <v>261</v>
      </c>
      <c r="C146" s="40" t="s">
        <v>60</v>
      </c>
      <c r="D146" s="41" t="n">
        <f aca="false">INDEX(Proximidad!$C$6:$O$18,MATCH(A146,Proximidad!$B$6:$B$18,0),MATCH(C146,Proximidad!$C$5:$O$5,0))</f>
        <v>0</v>
      </c>
      <c r="E146" s="42" t="str">
        <f aca="false">IF(D146&gt;=Supuestos!$B$12,"Cercana",IF(D146&gt;=Supuestos!$B$13,"Media","Lejana"))</f>
        <v>Lejana</v>
      </c>
      <c r="F146" s="43" t="n">
        <f aca="false">INDEX('En común'!$C$6:$O$18,MATCH(A146,'En común'!$B$6:$B$18,0),MATCH(C146,'En común'!$C$5:$O$5,0))</f>
        <v>0</v>
      </c>
      <c r="G146" s="44" t="s">
        <v>220</v>
      </c>
      <c r="H146" s="44" t="s">
        <v>260</v>
      </c>
      <c r="I146" s="40" t="s">
        <v>240</v>
      </c>
    </row>
    <row r="147" customFormat="false" ht="46.25" hidden="false" customHeight="false" outlineLevel="0" collapsed="false">
      <c r="A147" s="40" t="s">
        <v>68</v>
      </c>
      <c r="B147" s="40" t="s">
        <v>263</v>
      </c>
      <c r="C147" s="40" t="s">
        <v>61</v>
      </c>
      <c r="D147" s="41" t="n">
        <f aca="false">INDEX(Proximidad!$C$6:$O$18,MATCH(A147,Proximidad!$B$6:$B$18,0),MATCH(C147,Proximidad!$C$5:$O$5,0))</f>
        <v>0</v>
      </c>
      <c r="E147" s="42" t="str">
        <f aca="false">IF(D147&gt;=Supuestos!$B$12,"Cercana",IF(D147&gt;=Supuestos!$B$13,"Media","Lejana"))</f>
        <v>Lejana</v>
      </c>
      <c r="F147" s="43" t="n">
        <f aca="false">INDEX('En común'!$C$6:$O$18,MATCH(A147,'En común'!$B$6:$B$18,0),MATCH(C147,'En común'!$C$5:$O$5,0))</f>
        <v>0</v>
      </c>
      <c r="G147" s="44" t="s">
        <v>220</v>
      </c>
      <c r="H147" s="44" t="s">
        <v>264</v>
      </c>
      <c r="I147" s="40" t="s">
        <v>250</v>
      </c>
    </row>
    <row r="148" customFormat="false" ht="46.25" hidden="false" customHeight="false" outlineLevel="0" collapsed="false">
      <c r="A148" s="40" t="s">
        <v>68</v>
      </c>
      <c r="B148" s="40" t="s">
        <v>265</v>
      </c>
      <c r="C148" s="40" t="s">
        <v>55</v>
      </c>
      <c r="D148" s="41" t="n">
        <f aca="false">INDEX(Proximidad!$C$6:$O$18,MATCH(A148,Proximidad!$B$6:$B$18,0),MATCH(C148,Proximidad!$C$5:$O$5,0))</f>
        <v>0</v>
      </c>
      <c r="E148" s="42" t="str">
        <f aca="false">IF(D148&gt;=Supuestos!$B$12,"Cercana",IF(D148&gt;=Supuestos!$B$13,"Media","Lejana"))</f>
        <v>Lejana</v>
      </c>
      <c r="F148" s="43" t="n">
        <f aca="false">INDEX('En común'!$C$6:$O$18,MATCH(A148,'En común'!$B$6:$B$18,0),MATCH(C148,'En común'!$C$5:$O$5,0))</f>
        <v>0</v>
      </c>
      <c r="G148" s="44" t="s">
        <v>220</v>
      </c>
      <c r="H148" s="44" t="s">
        <v>266</v>
      </c>
      <c r="I148" s="40" t="s">
        <v>240</v>
      </c>
    </row>
    <row r="149" customFormat="false" ht="23.85" hidden="false" customHeight="false" outlineLevel="0" collapsed="false">
      <c r="A149" s="35" t="s">
        <v>64</v>
      </c>
      <c r="B149" s="35" t="s">
        <v>238</v>
      </c>
      <c r="C149" s="35" t="s">
        <v>58</v>
      </c>
      <c r="D149" s="36" t="n">
        <f aca="false">INDEX(Proximidad!$C$6:$O$18,MATCH(A149,Proximidad!$B$6:$B$18,0),MATCH(C149,Proximidad!$C$5:$O$5,0))</f>
        <v>0.583333333333333</v>
      </c>
      <c r="E149" s="37" t="str">
        <f aca="false">IF(D149&gt;=Supuestos!$B$12,"Cercana",IF(D149&gt;=Supuestos!$B$13,"Media","Lejana"))</f>
        <v>Cercana</v>
      </c>
      <c r="F149" s="38" t="n">
        <f aca="false">INDEX('En común'!$C$6:$O$18,MATCH(A149,'En común'!$B$6:$B$18,0),MATCH(C149,'En común'!$C$5:$O$5,0))</f>
        <v>4</v>
      </c>
      <c r="G149" s="39" t="s">
        <v>66</v>
      </c>
      <c r="H149" s="39" t="s">
        <v>366</v>
      </c>
      <c r="I149" s="35" t="s">
        <v>250</v>
      </c>
    </row>
    <row r="150" customFormat="false" ht="35.05" hidden="false" customHeight="false" outlineLevel="0" collapsed="false">
      <c r="A150" s="40" t="s">
        <v>64</v>
      </c>
      <c r="B150" s="40" t="s">
        <v>241</v>
      </c>
      <c r="C150" s="40" t="s">
        <v>60</v>
      </c>
      <c r="D150" s="41" t="n">
        <f aca="false">INDEX(Proximidad!$C$6:$O$18,MATCH(A150,Proximidad!$B$6:$B$18,0),MATCH(C150,Proximidad!$C$5:$O$5,0))</f>
        <v>0.307692307692308</v>
      </c>
      <c r="E150" s="42" t="str">
        <f aca="false">IF(D150&gt;=Supuestos!$B$12,"Cercana",IF(D150&gt;=Supuestos!$B$13,"Media","Lejana"))</f>
        <v>Media</v>
      </c>
      <c r="F150" s="43" t="n">
        <f aca="false">INDEX('En común'!$C$6:$O$18,MATCH(A150,'En común'!$B$6:$B$18,0),MATCH(C150,'En común'!$C$5:$O$5,0))</f>
        <v>2</v>
      </c>
      <c r="G150" s="44" t="s">
        <v>367</v>
      </c>
      <c r="H150" s="44" t="s">
        <v>368</v>
      </c>
      <c r="I150" s="40" t="s">
        <v>240</v>
      </c>
    </row>
    <row r="151" customFormat="false" ht="35.05" hidden="false" customHeight="false" outlineLevel="0" collapsed="false">
      <c r="A151" s="40" t="s">
        <v>64</v>
      </c>
      <c r="B151" s="40" t="s">
        <v>244</v>
      </c>
      <c r="C151" s="40" t="s">
        <v>61</v>
      </c>
      <c r="D151" s="41" t="n">
        <f aca="false">INDEX(Proximidad!$C$6:$O$18,MATCH(A151,Proximidad!$B$6:$B$18,0),MATCH(C151,Proximidad!$C$5:$O$5,0))</f>
        <v>0.272727272727273</v>
      </c>
      <c r="E151" s="42" t="str">
        <f aca="false">IF(D151&gt;=Supuestos!$B$12,"Cercana",IF(D151&gt;=Supuestos!$B$13,"Media","Lejana"))</f>
        <v>Media</v>
      </c>
      <c r="F151" s="43" t="n">
        <f aca="false">INDEX('En común'!$C$6:$O$18,MATCH(A151,'En común'!$B$6:$B$18,0),MATCH(C151,'En común'!$C$5:$O$5,0))</f>
        <v>2</v>
      </c>
      <c r="G151" s="44" t="s">
        <v>369</v>
      </c>
      <c r="H151" s="44" t="s">
        <v>370</v>
      </c>
      <c r="I151" s="40" t="s">
        <v>250</v>
      </c>
    </row>
    <row r="152" customFormat="false" ht="35.05" hidden="false" customHeight="false" outlineLevel="0" collapsed="false">
      <c r="A152" s="40" t="s">
        <v>64</v>
      </c>
      <c r="B152" s="40" t="s">
        <v>247</v>
      </c>
      <c r="C152" s="40" t="s">
        <v>63</v>
      </c>
      <c r="D152" s="41" t="n">
        <f aca="false">INDEX(Proximidad!$C$6:$O$18,MATCH(A152,Proximidad!$B$6:$B$18,0),MATCH(C152,Proximidad!$C$5:$O$5,0))</f>
        <v>0.230769230769231</v>
      </c>
      <c r="E152" s="42" t="str">
        <f aca="false">IF(D152&gt;=Supuestos!$B$12,"Cercana",IF(D152&gt;=Supuestos!$B$13,"Media","Lejana"))</f>
        <v>Media</v>
      </c>
      <c r="F152" s="43" t="n">
        <f aca="false">INDEX('En común'!$C$6:$O$18,MATCH(A152,'En común'!$B$6:$B$18,0),MATCH(C152,'En común'!$C$5:$O$5,0))</f>
        <v>2</v>
      </c>
      <c r="G152" s="44" t="s">
        <v>371</v>
      </c>
      <c r="H152" s="44" t="s">
        <v>372</v>
      </c>
      <c r="I152" s="40" t="s">
        <v>250</v>
      </c>
    </row>
    <row r="153" customFormat="false" ht="35.05" hidden="false" customHeight="false" outlineLevel="0" collapsed="false">
      <c r="A153" s="40" t="s">
        <v>64</v>
      </c>
      <c r="B153" s="40" t="s">
        <v>251</v>
      </c>
      <c r="C153" s="40" t="s">
        <v>68</v>
      </c>
      <c r="D153" s="41" t="n">
        <f aca="false">INDEX(Proximidad!$C$6:$O$18,MATCH(A153,Proximidad!$B$6:$B$18,0),MATCH(C153,Proximidad!$C$5:$O$5,0))</f>
        <v>0.166666666666667</v>
      </c>
      <c r="E153" s="42" t="str">
        <f aca="false">IF(D153&gt;=Supuestos!$B$12,"Cercana",IF(D153&gt;=Supuestos!$B$13,"Media","Lejana"))</f>
        <v>Lejana</v>
      </c>
      <c r="F153" s="43" t="n">
        <f aca="false">INDEX('En común'!$C$6:$O$18,MATCH(A153,'En común'!$B$6:$B$18,0),MATCH(C153,'En común'!$C$5:$O$5,0))</f>
        <v>2</v>
      </c>
      <c r="G153" s="44" t="s">
        <v>305</v>
      </c>
      <c r="H153" s="44" t="s">
        <v>306</v>
      </c>
      <c r="I153" s="40" t="s">
        <v>250</v>
      </c>
    </row>
    <row r="154" customFormat="false" ht="35.05" hidden="false" customHeight="false" outlineLevel="0" collapsed="false">
      <c r="A154" s="40" t="s">
        <v>64</v>
      </c>
      <c r="B154" s="40" t="s">
        <v>253</v>
      </c>
      <c r="C154" s="40" t="s">
        <v>54</v>
      </c>
      <c r="D154" s="41" t="n">
        <f aca="false">INDEX(Proximidad!$C$6:$O$18,MATCH(A154,Proximidad!$B$6:$B$18,0),MATCH(C154,Proximidad!$C$5:$O$5,0))</f>
        <v>0.166666666666667</v>
      </c>
      <c r="E154" s="42" t="str">
        <f aca="false">IF(D154&gt;=Supuestos!$B$12,"Cercana",IF(D154&gt;=Supuestos!$B$13,"Media","Lejana"))</f>
        <v>Lejana</v>
      </c>
      <c r="F154" s="43" t="n">
        <f aca="false">INDEX('En común'!$C$6:$O$18,MATCH(A154,'En común'!$B$6:$B$18,0),MATCH(C154,'En común'!$C$5:$O$5,0))</f>
        <v>2</v>
      </c>
      <c r="G154" s="44" t="s">
        <v>361</v>
      </c>
      <c r="H154" s="44" t="s">
        <v>362</v>
      </c>
      <c r="I154" s="40" t="s">
        <v>240</v>
      </c>
    </row>
    <row r="155" customFormat="false" ht="35.05" hidden="false" customHeight="false" outlineLevel="0" collapsed="false">
      <c r="A155" s="40" t="s">
        <v>64</v>
      </c>
      <c r="B155" s="40" t="s">
        <v>255</v>
      </c>
      <c r="C155" s="40" t="s">
        <v>57</v>
      </c>
      <c r="D155" s="41" t="n">
        <f aca="false">INDEX(Proximidad!$C$6:$O$18,MATCH(A155,Proximidad!$B$6:$B$18,0),MATCH(C155,Proximidad!$C$5:$O$5,0))</f>
        <v>0.142857142857143</v>
      </c>
      <c r="E155" s="42" t="str">
        <f aca="false">IF(D155&gt;=Supuestos!$B$12,"Cercana",IF(D155&gt;=Supuestos!$B$13,"Media","Lejana"))</f>
        <v>Lejana</v>
      </c>
      <c r="F155" s="43" t="n">
        <f aca="false">INDEX('En común'!$C$6:$O$18,MATCH(A155,'En común'!$B$6:$B$18,0),MATCH(C155,'En común'!$C$5:$O$5,0))</f>
        <v>1</v>
      </c>
      <c r="G155" s="44" t="s">
        <v>152</v>
      </c>
      <c r="H155" s="44" t="s">
        <v>334</v>
      </c>
      <c r="I155" s="40" t="s">
        <v>240</v>
      </c>
    </row>
    <row r="156" customFormat="false" ht="35.05" hidden="false" customHeight="false" outlineLevel="0" collapsed="false">
      <c r="A156" s="40" t="s">
        <v>64</v>
      </c>
      <c r="B156" s="40" t="s">
        <v>257</v>
      </c>
      <c r="C156" s="40" t="s">
        <v>51</v>
      </c>
      <c r="D156" s="41" t="n">
        <f aca="false">INDEX(Proximidad!$C$6:$O$18,MATCH(A156,Proximidad!$B$6:$B$18,0),MATCH(C156,Proximidad!$C$5:$O$5,0))</f>
        <v>0.0769230769230769</v>
      </c>
      <c r="E156" s="42" t="str">
        <f aca="false">IF(D156&gt;=Supuestos!$B$12,"Cercana",IF(D156&gt;=Supuestos!$B$13,"Media","Lejana"))</f>
        <v>Lejana</v>
      </c>
      <c r="F156" s="43" t="n">
        <f aca="false">INDEX('En común'!$C$6:$O$18,MATCH(A156,'En común'!$B$6:$B$18,0),MATCH(C156,'En común'!$C$5:$O$5,0))</f>
        <v>1</v>
      </c>
      <c r="G156" s="44" t="s">
        <v>170</v>
      </c>
      <c r="H156" s="44" t="s">
        <v>309</v>
      </c>
      <c r="I156" s="40" t="s">
        <v>268</v>
      </c>
    </row>
    <row r="157" customFormat="false" ht="46.25" hidden="false" customHeight="false" outlineLevel="0" collapsed="false">
      <c r="A157" s="40" t="s">
        <v>64</v>
      </c>
      <c r="B157" s="40" t="s">
        <v>259</v>
      </c>
      <c r="C157" s="40" t="s">
        <v>67</v>
      </c>
      <c r="D157" s="41" t="n">
        <f aca="false">INDEX(Proximidad!$C$6:$O$18,MATCH(A157,Proximidad!$B$6:$B$18,0),MATCH(C157,Proximidad!$C$5:$O$5,0))</f>
        <v>0</v>
      </c>
      <c r="E157" s="42" t="str">
        <f aca="false">IF(D157&gt;=Supuestos!$B$12,"Cercana",IF(D157&gt;=Supuestos!$B$13,"Media","Lejana"))</f>
        <v>Lejana</v>
      </c>
      <c r="F157" s="43" t="n">
        <f aca="false">INDEX('En común'!$C$6:$O$18,MATCH(A157,'En común'!$B$6:$B$18,0),MATCH(C157,'En común'!$C$5:$O$5,0))</f>
        <v>0</v>
      </c>
      <c r="G157" s="44" t="s">
        <v>220</v>
      </c>
      <c r="H157" s="44" t="s">
        <v>262</v>
      </c>
      <c r="I157" s="40" t="s">
        <v>240</v>
      </c>
    </row>
    <row r="158" customFormat="false" ht="35.05" hidden="false" customHeight="false" outlineLevel="0" collapsed="false">
      <c r="A158" s="40" t="s">
        <v>64</v>
      </c>
      <c r="B158" s="40" t="s">
        <v>261</v>
      </c>
      <c r="C158" s="40" t="s">
        <v>53</v>
      </c>
      <c r="D158" s="41" t="n">
        <f aca="false">INDEX(Proximidad!$C$6:$O$18,MATCH(A158,Proximidad!$B$6:$B$18,0),MATCH(C158,Proximidad!$C$5:$O$5,0))</f>
        <v>0</v>
      </c>
      <c r="E158" s="42" t="str">
        <f aca="false">IF(D158&gt;=Supuestos!$B$12,"Cercana",IF(D158&gt;=Supuestos!$B$13,"Media","Lejana"))</f>
        <v>Lejana</v>
      </c>
      <c r="F158" s="43" t="n">
        <f aca="false">INDEX('En común'!$C$6:$O$18,MATCH(A158,'En común'!$B$6:$B$18,0),MATCH(C158,'En común'!$C$5:$O$5,0))</f>
        <v>0</v>
      </c>
      <c r="G158" s="44" t="s">
        <v>220</v>
      </c>
      <c r="H158" s="44" t="s">
        <v>286</v>
      </c>
      <c r="I158" s="40" t="s">
        <v>240</v>
      </c>
    </row>
    <row r="159" customFormat="false" ht="46.25" hidden="false" customHeight="false" outlineLevel="0" collapsed="false">
      <c r="A159" s="40" t="s">
        <v>64</v>
      </c>
      <c r="B159" s="40" t="s">
        <v>263</v>
      </c>
      <c r="C159" s="40" t="s">
        <v>55</v>
      </c>
      <c r="D159" s="41" t="n">
        <f aca="false">INDEX(Proximidad!$C$6:$O$18,MATCH(A159,Proximidad!$B$6:$B$18,0),MATCH(C159,Proximidad!$C$5:$O$5,0))</f>
        <v>0</v>
      </c>
      <c r="E159" s="42" t="str">
        <f aca="false">IF(D159&gt;=Supuestos!$B$12,"Cercana",IF(D159&gt;=Supuestos!$B$13,"Media","Lejana"))</f>
        <v>Lejana</v>
      </c>
      <c r="F159" s="43" t="n">
        <f aca="false">INDEX('En común'!$C$6:$O$18,MATCH(A159,'En común'!$B$6:$B$18,0),MATCH(C159,'En común'!$C$5:$O$5,0))</f>
        <v>0</v>
      </c>
      <c r="G159" s="44" t="s">
        <v>220</v>
      </c>
      <c r="H159" s="44" t="s">
        <v>266</v>
      </c>
      <c r="I159" s="40" t="s">
        <v>240</v>
      </c>
    </row>
    <row r="160" customFormat="false" ht="35.05" hidden="false" customHeight="false" outlineLevel="0" collapsed="false">
      <c r="A160" s="40" t="s">
        <v>64</v>
      </c>
      <c r="B160" s="40" t="s">
        <v>265</v>
      </c>
      <c r="C160" s="40" t="s">
        <v>52</v>
      </c>
      <c r="D160" s="41" t="n">
        <f aca="false">INDEX(Proximidad!$C$6:$O$18,MATCH(A160,Proximidad!$B$6:$B$18,0),MATCH(C160,Proximidad!$C$5:$O$5,0))</f>
        <v>0</v>
      </c>
      <c r="E160" s="42" t="str">
        <f aca="false">IF(D160&gt;=Supuestos!$B$12,"Cercana",IF(D160&gt;=Supuestos!$B$13,"Media","Lejana"))</f>
        <v>Lejana</v>
      </c>
      <c r="F160" s="43" t="n">
        <f aca="false">INDEX('En común'!$C$6:$O$18,MATCH(A160,'En común'!$B$6:$B$18,0),MATCH(C160,'En común'!$C$5:$O$5,0))</f>
        <v>0</v>
      </c>
      <c r="G160" s="44" t="s">
        <v>220</v>
      </c>
      <c r="H160" s="44" t="s">
        <v>297</v>
      </c>
      <c r="I160" s="40" t="s">
        <v>240</v>
      </c>
    </row>
  </sheetData>
  <autoFilter ref="A4:I160"/>
  <conditionalFormatting sqref="E5:E160">
    <cfRule type="cellIs" priority="2" operator="equal" aboveAverage="0" equalAverage="0" bottom="0" percent="0" rank="0" text="" dxfId="30">
      <formula>"Cercana"</formula>
    </cfRule>
    <cfRule type="cellIs" priority="3" operator="equal" aboveAverage="0" equalAverage="0" bottom="0" percent="0" rank="0" text="" dxfId="31">
      <formula>"Media"</formula>
    </cfRule>
    <cfRule type="cellIs" priority="4" operator="equal" aboveAverage="0" equalAverage="0" bottom="0" percent="0" rank="0" text="" dxfId="32">
      <formula>"Lejana"</formula>
    </cfRule>
  </conditionalFormatting>
  <conditionalFormatting sqref="D5:D160">
    <cfRule type="colorScale" priority="5">
      <colorScale>
        <cfvo type="num" val="0"/>
        <cfvo type="num" val="0.3"/>
        <cfvo type="num" val="0.6"/>
        <color rgb="FFFFFFFF"/>
        <color rgb="FFFDE9B9"/>
        <color rgb="FF26A1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1" t="s">
        <v>373</v>
      </c>
    </row>
    <row r="2" customFormat="false" ht="15" hidden="false" customHeight="false" outlineLevel="0" collapsed="false">
      <c r="A2" s="2" t="s">
        <v>374</v>
      </c>
    </row>
    <row r="4" customFormat="false" ht="15" hidden="false" customHeight="false" outlineLevel="0" collapsed="false">
      <c r="A4" s="5" t="s">
        <v>375</v>
      </c>
      <c r="B4" s="5" t="s">
        <v>376</v>
      </c>
      <c r="C4" s="5" t="s">
        <v>377</v>
      </c>
      <c r="D4" s="5" t="s">
        <v>378</v>
      </c>
    </row>
    <row r="5" customFormat="false" ht="48" hidden="false" customHeight="true" outlineLevel="0" collapsed="false">
      <c r="A5" s="44" t="n">
        <v>1</v>
      </c>
      <c r="B5" s="45" t="s">
        <v>379</v>
      </c>
      <c r="C5" s="44" t="s">
        <v>380</v>
      </c>
      <c r="D5" s="44" t="s">
        <v>381</v>
      </c>
    </row>
    <row r="6" customFormat="false" ht="48" hidden="false" customHeight="true" outlineLevel="0" collapsed="false">
      <c r="A6" s="44" t="n">
        <v>2</v>
      </c>
      <c r="B6" s="45" t="s">
        <v>382</v>
      </c>
      <c r="C6" s="44" t="s">
        <v>383</v>
      </c>
      <c r="D6" s="44" t="s">
        <v>381</v>
      </c>
    </row>
    <row r="7" customFormat="false" ht="48" hidden="false" customHeight="true" outlineLevel="0" collapsed="false">
      <c r="A7" s="44" t="n">
        <v>3</v>
      </c>
      <c r="B7" s="45" t="s">
        <v>384</v>
      </c>
      <c r="C7" s="44" t="s">
        <v>385</v>
      </c>
      <c r="D7" s="44" t="s">
        <v>381</v>
      </c>
    </row>
    <row r="8" customFormat="false" ht="48" hidden="false" customHeight="true" outlineLevel="0" collapsed="false">
      <c r="A8" s="44" t="n">
        <v>4</v>
      </c>
      <c r="B8" s="45" t="s">
        <v>386</v>
      </c>
      <c r="C8" s="44" t="s">
        <v>387</v>
      </c>
      <c r="D8" s="44" t="s">
        <v>388</v>
      </c>
    </row>
    <row r="9" customFormat="false" ht="48" hidden="false" customHeight="true" outlineLevel="0" collapsed="false">
      <c r="A9" s="44" t="n">
        <v>5</v>
      </c>
      <c r="B9" s="45" t="s">
        <v>389</v>
      </c>
      <c r="C9" s="44" t="s">
        <v>390</v>
      </c>
      <c r="D9" s="44" t="s">
        <v>391</v>
      </c>
    </row>
    <row r="10" customFormat="false" ht="48" hidden="false" customHeight="true" outlineLevel="0" collapsed="false">
      <c r="A10" s="44" t="n">
        <v>6</v>
      </c>
      <c r="B10" s="45" t="s">
        <v>392</v>
      </c>
      <c r="C10" s="44" t="s">
        <v>393</v>
      </c>
      <c r="D10" s="44" t="s">
        <v>391</v>
      </c>
    </row>
    <row r="11" customFormat="false" ht="48" hidden="false" customHeight="true" outlineLevel="0" collapsed="false">
      <c r="A11" s="44" t="n">
        <v>7</v>
      </c>
      <c r="B11" s="45" t="s">
        <v>394</v>
      </c>
      <c r="C11" s="44" t="s">
        <v>395</v>
      </c>
      <c r="D11" s="44" t="s">
        <v>391</v>
      </c>
    </row>
    <row r="12" customFormat="false" ht="48" hidden="false" customHeight="true" outlineLevel="0" collapsed="false">
      <c r="A12" s="44" t="n">
        <v>8</v>
      </c>
      <c r="B12" s="45" t="s">
        <v>396</v>
      </c>
      <c r="C12" s="44" t="s">
        <v>397</v>
      </c>
      <c r="D12" s="44" t="s">
        <v>398</v>
      </c>
    </row>
    <row r="15" customFormat="false" ht="16.15" hidden="false" customHeight="false" outlineLevel="0" collapsed="false">
      <c r="A15" s="46" t="s">
        <v>399</v>
      </c>
    </row>
    <row r="16" customFormat="false" ht="15" hidden="false" customHeight="false" outlineLevel="0" collapsed="false">
      <c r="A16" s="2" t="s">
        <v>400</v>
      </c>
    </row>
    <row r="17" customFormat="false" ht="23.85" hidden="false" customHeight="false" outlineLevel="0" collapsed="false">
      <c r="A17" s="5" t="s">
        <v>44</v>
      </c>
      <c r="B17" s="5" t="s">
        <v>231</v>
      </c>
      <c r="C17" s="5" t="s">
        <v>232</v>
      </c>
      <c r="D17" s="5" t="s">
        <v>401</v>
      </c>
      <c r="E17" s="5" t="s">
        <v>402</v>
      </c>
      <c r="F17" s="5" t="s">
        <v>403</v>
      </c>
    </row>
    <row r="18" customFormat="false" ht="15" hidden="false" customHeight="false" outlineLevel="0" collapsed="false">
      <c r="A18" s="19" t="s">
        <v>51</v>
      </c>
      <c r="B18" s="19" t="s">
        <v>52</v>
      </c>
      <c r="C18" s="47" t="n">
        <f aca="false">INDEX(Proximidad!$C$6:$O$18,MATCH(A18,Proximidad!$B$6:$B$18,0),MATCH(B18,Proximidad!$C$5:$O$5,0))</f>
        <v>0.5</v>
      </c>
      <c r="D18" s="48"/>
      <c r="E18" s="48"/>
      <c r="F18" s="48"/>
    </row>
    <row r="19" customFormat="false" ht="15" hidden="false" customHeight="false" outlineLevel="0" collapsed="false">
      <c r="A19" s="19" t="s">
        <v>51</v>
      </c>
      <c r="B19" s="19" t="s">
        <v>53</v>
      </c>
      <c r="C19" s="47" t="n">
        <f aca="false">INDEX(Proximidad!$C$6:$O$18,MATCH(A19,Proximidad!$B$6:$B$18,0),MATCH(B19,Proximidad!$C$5:$O$5,0))</f>
        <v>0.384615384615385</v>
      </c>
      <c r="D19" s="48"/>
      <c r="E19" s="48"/>
      <c r="F19" s="48"/>
    </row>
    <row r="20" customFormat="false" ht="15" hidden="false" customHeight="false" outlineLevel="0" collapsed="false">
      <c r="A20" s="19" t="s">
        <v>52</v>
      </c>
      <c r="B20" s="19" t="s">
        <v>51</v>
      </c>
      <c r="C20" s="47" t="n">
        <f aca="false">INDEX(Proximidad!$C$6:$O$18,MATCH(A20,Proximidad!$B$6:$B$18,0),MATCH(B20,Proximidad!$C$5:$O$5,0))</f>
        <v>0.538461538461538</v>
      </c>
      <c r="D20" s="48"/>
      <c r="E20" s="48"/>
      <c r="F20" s="48"/>
    </row>
    <row r="21" customFormat="false" ht="15" hidden="false" customHeight="false" outlineLevel="0" collapsed="false">
      <c r="A21" s="19" t="s">
        <v>52</v>
      </c>
      <c r="B21" s="19" t="s">
        <v>53</v>
      </c>
      <c r="C21" s="47" t="n">
        <f aca="false">INDEX(Proximidad!$C$6:$O$18,MATCH(A21,Proximidad!$B$6:$B$18,0),MATCH(B21,Proximidad!$C$5:$O$5,0))</f>
        <v>0.384615384615385</v>
      </c>
      <c r="D21" s="48"/>
      <c r="E21" s="48"/>
      <c r="F21" s="48"/>
    </row>
    <row r="22" customFormat="false" ht="15" hidden="false" customHeight="false" outlineLevel="0" collapsed="false">
      <c r="A22" s="19" t="s">
        <v>55</v>
      </c>
      <c r="B22" s="19" t="s">
        <v>60</v>
      </c>
      <c r="C22" s="47" t="n">
        <f aca="false">INDEX(Proximidad!$C$6:$O$18,MATCH(A22,Proximidad!$B$6:$B$18,0),MATCH(B22,Proximidad!$C$5:$O$5,0))</f>
        <v>0.461538461538462</v>
      </c>
      <c r="D22" s="48"/>
      <c r="E22" s="48"/>
      <c r="F22" s="48"/>
    </row>
    <row r="23" customFormat="false" ht="15" hidden="false" customHeight="false" outlineLevel="0" collapsed="false">
      <c r="A23" s="19" t="s">
        <v>55</v>
      </c>
      <c r="B23" s="19" t="s">
        <v>61</v>
      </c>
      <c r="C23" s="47" t="n">
        <f aca="false">INDEX(Proximidad!$C$6:$O$18,MATCH(A23,Proximidad!$B$6:$B$18,0),MATCH(B23,Proximidad!$C$5:$O$5,0))</f>
        <v>0.181818181818182</v>
      </c>
      <c r="D23" s="48"/>
      <c r="E23" s="48"/>
      <c r="F23" s="48"/>
    </row>
    <row r="24" customFormat="false" ht="15" hidden="false" customHeight="false" outlineLevel="0" collapsed="false">
      <c r="A24" s="19" t="s">
        <v>63</v>
      </c>
      <c r="B24" s="19" t="s">
        <v>57</v>
      </c>
      <c r="C24" s="47" t="n">
        <f aca="false">INDEX(Proximidad!$C$6:$O$18,MATCH(A24,Proximidad!$B$6:$B$18,0),MATCH(B24,Proximidad!$C$5:$O$5,0))</f>
        <v>0.285714285714286</v>
      </c>
      <c r="D24" s="48"/>
      <c r="E24" s="48"/>
      <c r="F24" s="48"/>
    </row>
    <row r="25" customFormat="false" ht="15" hidden="false" customHeight="false" outlineLevel="0" collapsed="false">
      <c r="A25" s="19" t="s">
        <v>63</v>
      </c>
      <c r="B25" s="19" t="s">
        <v>64</v>
      </c>
      <c r="C25" s="47" t="n">
        <f aca="false">INDEX(Proximidad!$C$6:$O$18,MATCH(A25,Proximidad!$B$6:$B$18,0),MATCH(B25,Proximidad!$C$5:$O$5,0))</f>
        <v>0.25</v>
      </c>
      <c r="D25" s="48"/>
      <c r="E25" s="48"/>
      <c r="F25" s="48"/>
    </row>
    <row r="26" customFormat="false" ht="15" hidden="false" customHeight="false" outlineLevel="0" collapsed="false">
      <c r="A26" s="19" t="s">
        <v>58</v>
      </c>
      <c r="B26" s="19" t="s">
        <v>64</v>
      </c>
      <c r="C26" s="47" t="n">
        <f aca="false">INDEX(Proximidad!$C$6:$O$18,MATCH(A26,Proximidad!$B$6:$B$18,0),MATCH(B26,Proximidad!$C$5:$O$5,0))</f>
        <v>0.583333333333333</v>
      </c>
      <c r="D26" s="48"/>
      <c r="E26" s="48"/>
      <c r="F26" s="48"/>
    </row>
    <row r="27" customFormat="false" ht="15" hidden="false" customHeight="false" outlineLevel="0" collapsed="false">
      <c r="A27" s="19" t="s">
        <v>58</v>
      </c>
      <c r="B27" s="19" t="s">
        <v>61</v>
      </c>
      <c r="C27" s="47" t="n">
        <f aca="false">INDEX(Proximidad!$C$6:$O$18,MATCH(A27,Proximidad!$B$6:$B$18,0),MATCH(B27,Proximidad!$C$5:$O$5,0))</f>
        <v>0.272727272727273</v>
      </c>
      <c r="D27" s="48"/>
      <c r="E27" s="48"/>
      <c r="F27" s="48"/>
    </row>
    <row r="28" customFormat="false" ht="15" hidden="false" customHeight="false" outlineLevel="0" collapsed="false">
      <c r="A28" s="19" t="s">
        <v>67</v>
      </c>
      <c r="B28" s="19" t="s">
        <v>68</v>
      </c>
      <c r="C28" s="47" t="n">
        <f aca="false">INDEX(Proximidad!$C$6:$O$18,MATCH(A28,Proximidad!$B$6:$B$18,0),MATCH(B28,Proximidad!$C$5:$O$5,0))</f>
        <v>0.333333333333333</v>
      </c>
      <c r="D28" s="48"/>
      <c r="E28" s="48"/>
      <c r="F28" s="48"/>
    </row>
    <row r="29" customFormat="false" ht="15" hidden="false" customHeight="false" outlineLevel="0" collapsed="false">
      <c r="A29" s="19" t="s">
        <v>67</v>
      </c>
      <c r="B29" s="19" t="s">
        <v>54</v>
      </c>
      <c r="C29" s="47" t="n">
        <f aca="false">INDEX(Proximidad!$C$6:$O$18,MATCH(A29,Proximidad!$B$6:$B$18,0),MATCH(B29,Proximidad!$C$5:$O$5,0))</f>
        <v>0.25</v>
      </c>
      <c r="D29" s="48"/>
      <c r="E29" s="48"/>
      <c r="F29" s="48"/>
    </row>
    <row r="30" customFormat="false" ht="15" hidden="false" customHeight="false" outlineLevel="0" collapsed="false">
      <c r="A30" s="19" t="s">
        <v>53</v>
      </c>
      <c r="B30" s="19" t="s">
        <v>51</v>
      </c>
      <c r="C30" s="47" t="n">
        <f aca="false">INDEX(Proximidad!$C$6:$O$18,MATCH(A30,Proximidad!$B$6:$B$18,0),MATCH(B30,Proximidad!$C$5:$O$5,0))</f>
        <v>0.384615384615385</v>
      </c>
      <c r="D30" s="48"/>
      <c r="E30" s="48"/>
      <c r="F30" s="48"/>
    </row>
    <row r="31" customFormat="false" ht="15" hidden="false" customHeight="false" outlineLevel="0" collapsed="false">
      <c r="A31" s="19" t="s">
        <v>53</v>
      </c>
      <c r="B31" s="19" t="s">
        <v>52</v>
      </c>
      <c r="C31" s="47" t="n">
        <f aca="false">INDEX(Proximidad!$C$6:$O$18,MATCH(A31,Proximidad!$B$6:$B$18,0),MATCH(B31,Proximidad!$C$5:$O$5,0))</f>
        <v>0.357142857142857</v>
      </c>
      <c r="D31" s="48"/>
      <c r="E31" s="48"/>
      <c r="F31" s="48"/>
    </row>
    <row r="32" customFormat="false" ht="15" hidden="false" customHeight="false" outlineLevel="0" collapsed="false">
      <c r="A32" s="19" t="s">
        <v>60</v>
      </c>
      <c r="B32" s="19" t="s">
        <v>55</v>
      </c>
      <c r="C32" s="47" t="n">
        <f aca="false">INDEX(Proximidad!$C$6:$O$18,MATCH(A32,Proximidad!$B$6:$B$18,0),MATCH(B32,Proximidad!$C$5:$O$5,0))</f>
        <v>0.461538461538462</v>
      </c>
      <c r="D32" s="48"/>
      <c r="E32" s="48"/>
      <c r="F32" s="48"/>
    </row>
    <row r="33" customFormat="false" ht="15" hidden="false" customHeight="false" outlineLevel="0" collapsed="false">
      <c r="A33" s="19" t="s">
        <v>60</v>
      </c>
      <c r="B33" s="19" t="s">
        <v>61</v>
      </c>
      <c r="C33" s="47" t="n">
        <f aca="false">INDEX(Proximidad!$C$6:$O$18,MATCH(A33,Proximidad!$B$6:$B$18,0),MATCH(B33,Proximidad!$C$5:$O$5,0))</f>
        <v>0.363636363636364</v>
      </c>
      <c r="D33" s="48"/>
      <c r="E33" s="48"/>
      <c r="F33" s="48"/>
    </row>
    <row r="34" customFormat="false" ht="15" hidden="false" customHeight="false" outlineLevel="0" collapsed="false">
      <c r="A34" s="19" t="s">
        <v>54</v>
      </c>
      <c r="B34" s="19" t="s">
        <v>60</v>
      </c>
      <c r="C34" s="47" t="n">
        <f aca="false">INDEX(Proximidad!$C$6:$O$18,MATCH(A34,Proximidad!$B$6:$B$18,0),MATCH(B34,Proximidad!$C$5:$O$5,0))</f>
        <v>0.307692307692308</v>
      </c>
      <c r="D34" s="48"/>
      <c r="E34" s="48"/>
      <c r="F34" s="48"/>
    </row>
    <row r="35" customFormat="false" ht="15" hidden="false" customHeight="false" outlineLevel="0" collapsed="false">
      <c r="A35" s="19" t="s">
        <v>54</v>
      </c>
      <c r="B35" s="19" t="s">
        <v>58</v>
      </c>
      <c r="C35" s="47" t="n">
        <f aca="false">INDEX(Proximidad!$C$6:$O$18,MATCH(A35,Proximidad!$B$6:$B$18,0),MATCH(B35,Proximidad!$C$5:$O$5,0))</f>
        <v>0.25</v>
      </c>
      <c r="D35" s="48"/>
      <c r="E35" s="48"/>
      <c r="F35" s="48"/>
    </row>
    <row r="36" customFormat="false" ht="15" hidden="false" customHeight="false" outlineLevel="0" collapsed="false">
      <c r="A36" s="19" t="s">
        <v>61</v>
      </c>
      <c r="B36" s="19" t="s">
        <v>60</v>
      </c>
      <c r="C36" s="47" t="n">
        <f aca="false">INDEX(Proximidad!$C$6:$O$18,MATCH(A36,Proximidad!$B$6:$B$18,0),MATCH(B36,Proximidad!$C$5:$O$5,0))</f>
        <v>0.307692307692308</v>
      </c>
      <c r="D36" s="48"/>
      <c r="E36" s="48"/>
      <c r="F36" s="48"/>
    </row>
    <row r="37" customFormat="false" ht="15" hidden="false" customHeight="false" outlineLevel="0" collapsed="false">
      <c r="A37" s="19" t="s">
        <v>61</v>
      </c>
      <c r="B37" s="19" t="s">
        <v>64</v>
      </c>
      <c r="C37" s="47" t="n">
        <f aca="false">INDEX(Proximidad!$C$6:$O$18,MATCH(A37,Proximidad!$B$6:$B$18,0),MATCH(B37,Proximidad!$C$5:$O$5,0))</f>
        <v>0.25</v>
      </c>
      <c r="D37" s="48"/>
      <c r="E37" s="48"/>
      <c r="F37" s="48"/>
    </row>
    <row r="38" customFormat="false" ht="15" hidden="false" customHeight="false" outlineLevel="0" collapsed="false">
      <c r="A38" s="19" t="s">
        <v>57</v>
      </c>
      <c r="B38" s="19" t="s">
        <v>63</v>
      </c>
      <c r="C38" s="47" t="n">
        <f aca="false">INDEX(Proximidad!$C$6:$O$18,MATCH(A38,Proximidad!$B$6:$B$18,0),MATCH(B38,Proximidad!$C$5:$O$5,0))</f>
        <v>0.307692307692308</v>
      </c>
      <c r="D38" s="48"/>
      <c r="E38" s="48"/>
      <c r="F38" s="48"/>
    </row>
    <row r="39" customFormat="false" ht="15" hidden="false" customHeight="false" outlineLevel="0" collapsed="false">
      <c r="A39" s="19" t="s">
        <v>57</v>
      </c>
      <c r="B39" s="19" t="s">
        <v>52</v>
      </c>
      <c r="C39" s="47" t="n">
        <f aca="false">INDEX(Proximidad!$C$6:$O$18,MATCH(A39,Proximidad!$B$6:$B$18,0),MATCH(B39,Proximidad!$C$5:$O$5,0))</f>
        <v>0.285714285714286</v>
      </c>
      <c r="D39" s="48"/>
      <c r="E39" s="48"/>
      <c r="F39" s="48"/>
    </row>
    <row r="40" customFormat="false" ht="15" hidden="false" customHeight="false" outlineLevel="0" collapsed="false">
      <c r="A40" s="19" t="s">
        <v>68</v>
      </c>
      <c r="B40" s="19" t="s">
        <v>67</v>
      </c>
      <c r="C40" s="47" t="n">
        <f aca="false">INDEX(Proximidad!$C$6:$O$18,MATCH(A40,Proximidad!$B$6:$B$18,0),MATCH(B40,Proximidad!$C$5:$O$5,0))</f>
        <v>0.307692307692308</v>
      </c>
      <c r="D40" s="48"/>
      <c r="E40" s="48"/>
      <c r="F40" s="48"/>
    </row>
    <row r="41" customFormat="false" ht="15" hidden="false" customHeight="false" outlineLevel="0" collapsed="false">
      <c r="A41" s="19" t="s">
        <v>68</v>
      </c>
      <c r="B41" s="19" t="s">
        <v>53</v>
      </c>
      <c r="C41" s="47" t="n">
        <f aca="false">INDEX(Proximidad!$C$6:$O$18,MATCH(A41,Proximidad!$B$6:$B$18,0),MATCH(B41,Proximidad!$C$5:$O$5,0))</f>
        <v>0.307692307692308</v>
      </c>
      <c r="D41" s="48"/>
      <c r="E41" s="48"/>
      <c r="F41" s="48"/>
    </row>
    <row r="42" customFormat="false" ht="15" hidden="false" customHeight="false" outlineLevel="0" collapsed="false">
      <c r="A42" s="19" t="s">
        <v>64</v>
      </c>
      <c r="B42" s="19" t="s">
        <v>58</v>
      </c>
      <c r="C42" s="47" t="n">
        <f aca="false">INDEX(Proximidad!$C$6:$O$18,MATCH(A42,Proximidad!$B$6:$B$18,0),MATCH(B42,Proximidad!$C$5:$O$5,0))</f>
        <v>0.583333333333333</v>
      </c>
      <c r="D42" s="48"/>
      <c r="E42" s="48"/>
      <c r="F42" s="48"/>
    </row>
    <row r="43" customFormat="false" ht="15" hidden="false" customHeight="false" outlineLevel="0" collapsed="false">
      <c r="A43" s="19" t="s">
        <v>64</v>
      </c>
      <c r="B43" s="19" t="s">
        <v>60</v>
      </c>
      <c r="C43" s="47" t="n">
        <f aca="false">INDEX(Proximidad!$C$6:$O$18,MATCH(A43,Proximidad!$B$6:$B$18,0),MATCH(B43,Proximidad!$C$5:$O$5,0))</f>
        <v>0.307692307692308</v>
      </c>
      <c r="D43" s="48"/>
      <c r="E43" s="48"/>
      <c r="F43" s="48"/>
    </row>
    <row r="45" customFormat="false" ht="15" hidden="false" customHeight="false" outlineLevel="0" collapsed="false">
      <c r="A45" s="27" t="s">
        <v>404</v>
      </c>
      <c r="D45" s="27" t="str">
        <f aca="false">IFERROR(AVERAGE(D18:D43),"Sin datos aún")</f>
        <v>Sin datos aún</v>
      </c>
    </row>
  </sheetData>
  <conditionalFormatting sqref="D5:D12">
    <cfRule type="cellIs" priority="2" operator="equal" aboveAverage="0" equalAverage="0" bottom="0" percent="0" rank="0" text="" dxfId="30">
      <formula>"Hecho"</formula>
    </cfRule>
    <cfRule type="cellIs" priority="3" operator="equal" aboveAverage="0" equalAverage="0" bottom="0" percent="0" rank="0" text="" dxfId="31">
      <formula>"Parcial"</formula>
    </cfRule>
    <cfRule type="cellIs" priority="4" operator="equal" aboveAverage="0" equalAverage="0" bottom="0" percent="0" rank="0" text="" dxfId="32">
      <formula>"Pendiente"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2026-10-29T05:12:45Z</dcterms:created>
  <dc:creator>openpyxl</dc:creator>
  <dc:description/>
  <dc:language>en-US</dc:language>
  <cp:lastModifiedBy/>
  <dcterms:modified xsi:type="dcterms:W3CDTF">2026-10-29T05:12:45Z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